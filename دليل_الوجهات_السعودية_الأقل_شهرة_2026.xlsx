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f9082bc27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دليل الكامل" sheetId="1" r:id="Red4df2d1456744c7"/>
    <x:sheet xmlns:r="http://schemas.openxmlformats.org/officeDocument/2006/relationships" name="ملخص المناطق" sheetId="2" r:id="R6025991512b14bfd"/>
    <x:sheet xmlns:r="http://schemas.openxmlformats.org/officeDocument/2006/relationships" name="المنهجية والمصادر" sheetId="3" r:id="Rb4938aba2b62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E5D7B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3a6dfefc54018" /><Relationship Type="http://schemas.openxmlformats.org/officeDocument/2006/relationships/theme" Target="/xl/theme/theme1.xml" Id="R0ad5cecb53334bf6" /><Relationship Type="http://schemas.openxmlformats.org/officeDocument/2006/relationships/sharedStrings" Target="/xl/sharedStrings.xml" Id="Ra9c2745e21c340e3" /><Relationship Type="http://schemas.openxmlformats.org/officeDocument/2006/relationships/worksheet" Target="/xl/worksheets/sheet1.xml" Id="Red4df2d1456744c7" /><Relationship Type="http://schemas.openxmlformats.org/officeDocument/2006/relationships/worksheet" Target="/xl/worksheets/sheet2.xml" Id="R6025991512b14bfd" /><Relationship Type="http://schemas.openxmlformats.org/officeDocument/2006/relationships/worksheet" Target="/xl/worksheets/sheet3.xml" Id="Rb4938aba2b6241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e6d760012943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عدد الوجهات المدرجة حسب المنطقة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عدد الوجهات</c:v>
          </c:tx>
          <c:cat>
            <c:strRef>
              <c:f>'ملخص المناطق'!$A$11:$A$23</c:f>
              <c:strCache>
                <c:ptCount val="0"/>
              </c:strCache>
            </c:strRef>
          </c:cat>
          <c:val>
            <c:numRef>
              <c:f>'ملخص المناطق'!$B$11:$B$23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e6d760012943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udiHiddenGems2026" displayName="SaudiHiddenGems2026" ref="A4:S71" headerRowCount="1" totalsRowCount="0" totalsRowShown="0">
  <x:tableColumns count="19">
    <x:tableColumn id="1" name="م"/>
    <x:tableColumn id="2" name="المنطقة"/>
    <x:tableColumn id="3" name="المحافظة/النطاق"/>
    <x:tableColumn id="4" name="الموقع"/>
    <x:tableColumn id="5" name="النوع"/>
    <x:tableColumn id="6" name="ماذا ستجد"/>
    <x:tableColumn id="7" name="مؤشر الشهرة الرقمية (1-5)"/>
    <x:tableColumn id="8" name="وصف الشهرة"/>
    <x:tableColumn id="9" name="مؤشر العزلة (1-5)"/>
    <x:tableColumn id="10" name="وصف العزلة"/>
    <x:tableColumn id="11" name="المركبة/الوصول"/>
    <x:tableColumn id="12" name="الموسم الأنسب"/>
    <x:tableColumn id="13" name="المدة المقترحة"/>
    <x:tableColumn id="14" name="ملاحظة السلامة/الوصول"/>
    <x:tableColumn id="15" name="مراجعات Google Maps*"/>
    <x:tableColumn id="16" name="رابط Google Maps"/>
    <x:tableColumn id="17" name="دليل الظهور الرقمي"/>
    <x:tableColumn id="18" name="المصدر"/>
    <x:tableColumn id="19" name="آخر تحق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a71582d8bd47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135c3e5ccc4282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24" hidden="0" customWidth="1"/>
    <x:col min="4" max="4" width="30" hidden="0" customWidth="1"/>
    <x:col min="5" max="5" width="22" hidden="0" customWidth="1"/>
    <x:col min="6" max="6" width="52" hidden="0" customWidth="1"/>
    <x:col min="7" max="7" width="11" hidden="0" customWidth="1"/>
    <x:col min="8" max="8" width="18" hidden="0" customWidth="1"/>
    <x:col min="9" max="9" width="11" hidden="0" customWidth="1"/>
    <x:col min="10" max="10" width="18" hidden="0" customWidth="1"/>
    <x:col min="11" max="11" width="34" hidden="0" customWidth="1"/>
    <x:col min="12" max="12" width="23" hidden="0" customWidth="1"/>
    <x:col min="13" max="13" width="17" hidden="0" customWidth="1"/>
    <x:col min="14" max="14" width="52" hidden="0" customWidth="1"/>
    <x:col min="15" max="15" width="18" hidden="0" customWidth="1"/>
    <x:col min="16" max="16" width="46" hidden="0" customWidth="1"/>
    <x:col min="17" max="17" width="22" hidden="0" customWidth="1"/>
    <x:col min="18" max="18" width="46" hidden="0" customWidth="1"/>
    <x:col min="19" max="19" width="13" hidden="0" customWidth="1"/>
  </x:cols>
  <x:sheetData>
    <x:row r="1" ht="28" customHeight="1">
      <x:c r="A1" s="5" t="str">
        <x:v>دليل 67 وجهة سعودية أقل شهرة سياحيًا — نسخة بحثية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28" customHeight="1">
      <x:c r="A2" s="14" t="str">
        <x:v>تم تجميعها من بحث Google، إدراجات Google Maps، ومصادر رسمية/إعلامية ومحتوى اجتماعي مفهرس. مؤشرا الشهرة والعزلة تقديريّان وليسا إحصاءات رسمية.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4">
      <x:c r="A4" s="25" t="str">
        <x:v>م</x:v>
      </x:c>
      <x:c r="B4" s="25" t="str">
        <x:v>المنطقة</x:v>
      </x:c>
      <x:c r="C4" s="25" t="str">
        <x:v>المحافظة/النطاق</x:v>
      </x:c>
      <x:c r="D4" s="25" t="str">
        <x:v>الموقع</x:v>
      </x:c>
      <x:c r="E4" s="25" t="str">
        <x:v>النوع</x:v>
      </x:c>
      <x:c r="F4" s="25" t="str">
        <x:v>ماذا ستجد</x:v>
      </x:c>
      <x:c r="G4" s="25" t="str">
        <x:v>مؤشر الشهرة الرقمية (1-5)</x:v>
      </x:c>
      <x:c r="H4" s="25" t="str">
        <x:v>وصف الشهرة</x:v>
      </x:c>
      <x:c r="I4" s="25" t="str">
        <x:v>مؤشر العزلة (1-5)</x:v>
      </x:c>
      <x:c r="J4" s="25" t="str">
        <x:v>وصف العزلة</x:v>
      </x:c>
      <x:c r="K4" s="25" t="str">
        <x:v>المركبة/الوصول</x:v>
      </x:c>
      <x:c r="L4" s="25" t="str">
        <x:v>الموسم الأنسب</x:v>
      </x:c>
      <x:c r="M4" s="25" t="str">
        <x:v>المدة المقترحة</x:v>
      </x:c>
      <x:c r="N4" s="25" t="str">
        <x:v>ملاحظة السلامة/الوصول</x:v>
      </x:c>
      <x:c r="O4" s="25" t="str">
        <x:v>مراجعات Google Maps*</x:v>
      </x:c>
      <x:c r="P4" s="25" t="str">
        <x:v>رابط Google Maps</x:v>
      </x:c>
      <x:c r="Q4" s="25" t="str">
        <x:v>دليل الظهور الرقمي</x:v>
      </x:c>
      <x:c r="R4" s="25" t="str">
        <x:v>المصدر</x:v>
      </x:c>
      <x:c r="S4" s="25" t="str">
        <x:v>آخر تحقق</x:v>
      </x:c>
    </x:row>
    <x:row r="5">
      <x:c r="A5" s="34" t="n">
        <x:v>1</x:v>
      </x:c>
      <x:c r="B5" s="34" t="str">
        <x:v>الرياض</x:v>
      </x:c>
      <x:c r="C5" s="34" t="str">
        <x:v>جنوب شرق الرياض / قرب الخرج</x:v>
      </x:c>
      <x:c r="D5" s="34" t="str">
        <x:v>كهف عين هيت</x:v>
      </x:c>
      <x:c r="E5" s="34" t="str">
        <x:v>كهف / جيولوجيا</x:v>
      </x:c>
      <x:c r="F5" s="34" t="str">
        <x:v>كهف عميق مع خزان مائي جوفي وفتحة كبيرة وتكوينات حجرية؛ موقع جيولوجي لافت.</x:v>
      </x:c>
      <x:c r="G5" s="36" t="n">
        <x:v>3</x:v>
      </x:c>
      <x:c r="H5" s="34" t="str">
        <x:v>متوسطة</x:v>
      </x:c>
      <x:c r="I5" s="36" t="n">
        <x:v>2</x:v>
      </x:c>
      <x:c r="J5" s="34" t="str">
        <x:v>قريبة نسبيًا من المدن</x:v>
      </x:c>
      <x:c r="K5" s="34" t="str">
        <x:v>2WD حتى الموقع العام؛ النزول يحتاج خبرة ومعدات ولا يُنصح به دون مختص</x:v>
      </x:c>
      <x:c r="L5" s="34" t="str">
        <x:v>نوفمبر–فبراير</x:v>
      </x:c>
      <x:c r="M5" s="34" t="str">
        <x:v>2–4 ساعات</x:v>
      </x:c>
      <x:c r="N5" s="34" t="str">
        <x:v>النزول الداخلي محفوف بالانهيارات والانزلاقات الصخرية؛ الأفضل الاكتفاء بالمشاهدة الآمنة أو مع مستكشف كهوف.</x:v>
      </x:c>
      <x:c r="O5" s="36" t="n">
        <x:v>157</x:v>
      </x:c>
      <x:c r="P5" s="34" t="str">
        <x:v>https://www.google.com/maps/search/?api=1&amp;query=%D9%83%D9%87%D9%81%20%D8%B9%D9%8A%D9%86%20%D9%87%D9%8A%D8%AA%20%D8%AC%D9%86%D9%88%D8%A8%20%D8%B4%D8%B1%D9%82%20%D8%A7%D9%84%D8%B1%D9%8A%D8%A7%D8%B6%20/%20%D9%82%D8%B1%D8%A8%20%D8%A7%D9%84%D8%AE%D8%B1%D8%AC%20%D8%A7%D9%84%D8%B3%D8%B9%D9%88%D8%AF%D9%8A%D8%A9</x:v>
      </x:c>
      <x:c r="Q5" s="34" t="str">
        <x:v>مذكور في فيديوهات استكشاف على YouTube</x:v>
      </x:c>
      <x:c r="R5" s="34" t="str">
        <x:v>https://www.visitsaudi.com/ar/riyadh/attractions/heet-cave</x:v>
      </x:c>
      <x:c r="S5" s="34" t="str">
        <x:v>19-09-2026</x:v>
      </x:c>
    </x:row>
    <x:row r="6">
      <x:c r="A6" s="34" t="n">
        <x:v>2</x:v>
      </x:c>
      <x:c r="B6" s="34" t="str">
        <x:v>الرياض</x:v>
      </x:c>
      <x:c r="C6" s="34" t="str">
        <x:v>شمال/غرب الرياض</x:v>
      </x:c>
      <x:c r="D6" s="34" t="str">
        <x:v>بلدة سدوس التراثية</x:v>
      </x:c>
      <x:c r="E6" s="34" t="str">
        <x:v>تراث / عمارة نجدية</x:v>
      </x:c>
      <x:c r="F6" s="34" t="str">
        <x:v>أسوار وأبراج وممرات وبيوت طينية؛ نموذج لبلدة نجدية تاريخية.</x:v>
      </x:c>
      <x:c r="G6" s="36" t="n">
        <x:v>3</x:v>
      </x:c>
      <x:c r="H6" s="34" t="str">
        <x:v>متوسطة</x:v>
      </x:c>
      <x:c r="I6" s="36" t="n">
        <x:v>2</x:v>
      </x:c>
      <x:c r="J6" s="34" t="str">
        <x:v>سهلة نسبيًا</x:v>
      </x:c>
      <x:c r="K6" s="34" t="str">
        <x:v>2WD</x:v>
      </x:c>
      <x:c r="L6" s="34" t="str">
        <x:v>نوفمبر–فبراير</x:v>
      </x:c>
      <x:c r="M6" s="34" t="str">
        <x:v>2–3 ساعات</x:v>
      </x:c>
      <x:c r="N6" s="34" t="str">
        <x:v>زيارتها مناسبة مع شقراء أو الغاط في رحلة تراثية قصيرة.</x:v>
      </x:c>
      <x:c r="O6" s="36" t="str">
        <x:v>غير موثق في نتائج الخرائط التي تحققت منها</x:v>
      </x:c>
      <x:c r="P6" s="34" t="str">
        <x:v>https://www.google.com/maps/search/?api=1&amp;query=%D8%A8%D9%84%D8%AF%D8%A9%20%D8%B3%D8%AF%D9%88%D8%B3%20%D8%A7%D9%84%D8%AA%D8%B1%D8%A7%D8%AB%D9%8A%D8%A9%20%D8%B4%D9%85%D8%A7%D9%84/%D8%BA%D8%B1%D8%A8%20%D8%A7%D9%84%D8%B1%D9%8A%D8%A7%D8%B6%20%D8%A7%D9%84%D8%B3%D8%B9%D9%88%D8%AF%D9%8A%D8%A9</x:v>
      </x:c>
      <x:c r="Q6" s="34" t="str">
        <x:v>بحث ويب/محتوى محلي</x:v>
      </x:c>
      <x:c r="R6" s="34" t="str">
        <x:v>https://saudipedia.com/%D9%82%D8%A7%D8%A6%D9%85%D8%A9-%D8%A3%D8%B1%D8%A8%D8%B9-%D9%82%D8%B1%D9%89-%D9%88%D8%A8%D9%84%D8%AF%D8%A7%D8%AA-%D8%AA%D8%B1%D8%A7%D8%AB%D9%8A%D8%A9-%D8%A8%D9%85%D9%86%D8%B7%D9%82%D8%A9-%D8%A7%D9%84%D8%B1%D9%8A%D8%A7%D8%B6</x:v>
      </x:c>
      <x:c r="S6" s="34" t="str">
        <x:v>19-09-2026</x:v>
      </x:c>
    </x:row>
    <x:row r="7">
      <x:c r="A7" s="34" t="n">
        <x:v>3</x:v>
      </x:c>
      <x:c r="B7" s="34" t="str">
        <x:v>الرياض</x:v>
      </x:c>
      <x:c r="C7" s="34" t="str">
        <x:v>الغاط</x:v>
      </x:c>
      <x:c r="D7" s="34" t="str">
        <x:v>البلدة التراثية في الغاط</x:v>
      </x:c>
      <x:c r="E7" s="34" t="str">
        <x:v>تراث / متحف</x:v>
      </x:c>
      <x:c r="F7" s="34" t="str">
        <x:v>بيوت طينية مرممة، متحف، نزل ومساجد تاريخية وسوق شعبية.</x:v>
      </x:c>
      <x:c r="G7" s="36" t="n">
        <x:v>3</x:v>
      </x:c>
      <x:c r="H7" s="34" t="str">
        <x:v>متوسطة</x:v>
      </x:c>
      <x:c r="I7" s="36" t="n">
        <x:v>2</x:v>
      </x:c>
      <x:c r="J7" s="34" t="str">
        <x:v>سهلة نسبيًا</x:v>
      </x:c>
      <x:c r="K7" s="34" t="str">
        <x:v>2WD</x:v>
      </x:c>
      <x:c r="L7" s="34" t="str">
        <x:v>نوفمبر–فبراير</x:v>
      </x:c>
      <x:c r="M7" s="34" t="str">
        <x:v>2–3 ساعات</x:v>
      </x:c>
      <x:c r="N7" s="34" t="str">
        <x:v>أفضل للمهتمين بالتصوير والعمارة النجدية أكثر من المغامرات البرية.</x:v>
      </x:c>
      <x:c r="O7" s="36" t="str">
        <x:v>غير موثق في نتائج الخرائط التي تحققت منها</x:v>
      </x:c>
      <x:c r="P7" s="34" t="str">
        <x:v>https://www.google.com/maps/search/?api=1&amp;query=%D8%A7%D9%84%D8%A8%D9%84%D8%AF%D8%A9%20%D8%A7%D9%84%D8%AA%D8%B1%D8%A7%D8%AB%D9%8A%D8%A9%20%D9%81%D9%8A%20%D8%A7%D9%84%D8%BA%D8%A7%D8%B7%20%D8%A7%D9%84%D8%BA%D8%A7%D8%B7%20%D8%A7%D9%84%D8%B3%D8%B9%D9%88%D8%AF%D9%8A%D8%A9</x:v>
      </x:c>
      <x:c r="Q7" s="34" t="str">
        <x:v>بحث ويب/محتوى محلي</x:v>
      </x:c>
      <x:c r="R7" s="34" t="str">
        <x:v>https://saudipedia.com/%D9%82%D8%A7%D8%A6%D9%85%D8%A9-%D8%A3%D8%B1%D8%A8%D8%B9-%D9%82%D8%B1%D9%89-%D9%88%D8%A8%D9%84%D8%AF%D8%A7%D8%AA-%D8%AA%D8%B1%D8%A7%D8%AB%D9%8A%D8%A9-%D8%A8%D9%85%D9%86%D8%B7%D9%82%D8%A9-%D8%A7%D9%84%D8%B1%D9%8A%D8%A7%D8%B6</x:v>
      </x:c>
      <x:c r="S7" s="34" t="str">
        <x:v>19-09-2026</x:v>
      </x:c>
    </x:row>
    <x:row r="8">
      <x:c r="A8" s="34" t="n">
        <x:v>4</x:v>
      </x:c>
      <x:c r="B8" s="34" t="str">
        <x:v>الرياض</x:v>
      </x:c>
      <x:c r="C8" s="34" t="str">
        <x:v>القصب</x:v>
      </x:c>
      <x:c r="D8" s="34" t="str">
        <x:v>ممالح القصب</x:v>
      </x:c>
      <x:c r="E8" s="34" t="str">
        <x:v>طبيعي / تراث صناعي</x:v>
      </x:c>
      <x:c r="F8" s="34" t="str">
        <x:v>مسطحات وأحواض ملحية مرتبطة بتاريخ استخراج الملح، وتصلح للتصوير عند إضاءة الغروب.</x:v>
      </x:c>
      <x:c r="G8" s="36" t="n">
        <x:v>2</x:v>
      </x:c>
      <x:c r="H8" s="34" t="str">
        <x:v>منخفضة</x:v>
      </x:c>
      <x:c r="I8" s="36" t="n">
        <x:v>3</x:v>
      </x:c>
      <x:c r="J8" s="34" t="str">
        <x:v>متوسطة</x:v>
      </x:c>
      <x:c r="K8" s="34" t="str">
        <x:v>2WD غالبًا؛ 4x4 أفضل بعد الأمطار</x:v>
      </x:c>
      <x:c r="L8" s="34" t="str">
        <x:v>نوفمبر–فبراير</x:v>
      </x:c>
      <x:c r="M8" s="34" t="str">
        <x:v>2–4 ساعات</x:v>
      </x:c>
      <x:c r="N8" s="34" t="str">
        <x:v>طبيعة الموقع تتغير حسب الموسم والرطوبة؛ تأكد من قابلية الطرق قبل الانطلاق.</x:v>
      </x:c>
      <x:c r="O8" s="36" t="n">
        <x:v>125</x:v>
      </x:c>
      <x:c r="P8" s="34" t="str">
        <x:v>https://www.google.com/maps/search/?api=1&amp;query=%D9%85%D9%85%D8%A7%D9%84%D8%AD%20%D8%A7%D9%84%D9%82%D8%B5%D8%A8%20%D8%A7%D9%84%D9%82%D8%B5%D8%A8%20%D8%A7%D9%84%D8%B3%D8%B9%D9%88%D8%AF%D9%8A%D8%A9</x:v>
      </x:c>
      <x:c r="Q8" s="34" t="str">
        <x:v>ظهر في محتوى تصويري اجتماعي محلي</x:v>
      </x:c>
      <x:c r="R8" s="34" t="str">
        <x:v>https://saudipedia.com/%D9%85%D9%88%D8%B3%D9%85-%D9%85%D9%84%D8%AD-%D8%A7%D9%84%D9%82%D8%B5%D8%A8</x:v>
      </x:c>
      <x:c r="S8" s="34" t="str">
        <x:v>19-09-2026</x:v>
      </x:c>
    </x:row>
    <x:row r="9">
      <x:c r="A9" s="34" t="n">
        <x:v>5</x:v>
      </x:c>
      <x:c r="B9" s="34" t="str">
        <x:v>الرياض</x:v>
      </x:c>
      <x:c r="C9" s="34" t="str">
        <x:v>شمال الرياض</x:v>
      </x:c>
      <x:c r="D9" s="34" t="str">
        <x:v>سد صلبوخ</x:v>
      </x:c>
      <x:c r="E9" s="34" t="str">
        <x:v>طبيعي / ماء</x:v>
      </x:c>
      <x:c r="F9" s="34" t="str">
        <x:v>سد ومنطقة مفتوحة تصلح لرحلة برية خفيفة والتقاط الصور بعد موسم الأمطار.</x:v>
      </x:c>
      <x:c r="G9" s="36" t="n">
        <x:v>3</x:v>
      </x:c>
      <x:c r="H9" s="34" t="str">
        <x:v>متوسطة</x:v>
      </x:c>
      <x:c r="I9" s="36" t="n">
        <x:v>2</x:v>
      </x:c>
      <x:c r="J9" s="34" t="str">
        <x:v>سهلة نسبيًا</x:v>
      </x:c>
      <x:c r="K9" s="34" t="str">
        <x:v>2WD</x:v>
      </x:c>
      <x:c r="L9" s="34" t="str">
        <x:v>نوفمبر–فبراير</x:v>
      </x:c>
      <x:c r="M9" s="34" t="str">
        <x:v>2–4 ساعات</x:v>
      </x:c>
      <x:c r="N9" s="34" t="str">
        <x:v>المنظر يعتمد على كمية المياه؛ لا تقترب من حواف السد أو مجرى السيول.</x:v>
      </x:c>
      <x:c r="O9" s="36" t="n">
        <x:v>162</x:v>
      </x:c>
      <x:c r="P9" s="34" t="str">
        <x:v>https://www.google.com/maps/search/?api=1&amp;query=%D8%B3%D8%AF%20%D8%B5%D9%84%D8%A8%D9%88%D8%AE%20%D8%B4%D9%85%D8%A7%D9%84%20%D8%A7%D9%84%D8%B1%D9%8A%D8%A7%D8%B6%20%D8%A7%D9%84%D8%B3%D8%B9%D9%88%D8%AF%D9%8A%D8%A9</x:v>
      </x:c>
      <x:c r="Q9" s="34" t="str">
        <x:v>Google Maps</x:v>
      </x:c>
      <x:c r="R9" s="34" t="str">
        <x:v>https://www.google.com/maps/search/?api=1&amp;query=%D8%B3%D8%AF+%D8%B5%D9%84%D8%A8%D9%88%D8%AE+%D8%A7%D9%84%D8%B1%D9%8A%D8%A7%D8%B6</x:v>
      </x:c>
      <x:c r="S9" s="34" t="str">
        <x:v>19-09-2026</x:v>
      </x:c>
    </x:row>
    <x:row r="10">
      <x:c r="A10" s="34" t="n">
        <x:v>6</x:v>
      </x:c>
      <x:c r="B10" s="34" t="str">
        <x:v>مكة المكرمة</x:v>
      </x:c>
      <x:c r="C10" s="34" t="str">
        <x:v>الجموم / شمال مكة</x:v>
      </x:c>
      <x:c r="D10" s="34" t="str">
        <x:v>وادي فاطمة</x:v>
      </x:c>
      <x:c r="E10" s="34" t="str">
        <x:v>وادي / تراث</x:v>
      </x:c>
      <x:c r="F10" s="34" t="str">
        <x:v>وادي موسمي طويل مع عيون وآثار ونقوش صخرية؛ مناظر زراعية ومائية مختلفة عن الصورة الشائعة لمكة.</x:v>
      </x:c>
      <x:c r="G10" s="36" t="n">
        <x:v>2</x:v>
      </x:c>
      <x:c r="H10" s="34" t="str">
        <x:v>منخفضة نسبيًا</x:v>
      </x:c>
      <x:c r="I10" s="36" t="n">
        <x:v>2</x:v>
      </x:c>
      <x:c r="J10" s="34" t="str">
        <x:v>قريبة من العمران</x:v>
      </x:c>
      <x:c r="K10" s="34" t="str">
        <x:v>2WD لمعظم المسارات الرئيسية</x:v>
      </x:c>
      <x:c r="L10" s="34" t="str">
        <x:v>نوفمبر–مارس</x:v>
      </x:c>
      <x:c r="M10" s="34" t="str">
        <x:v>3–6 ساعات</x:v>
      </x:c>
      <x:c r="N10" s="34" t="str">
        <x:v>السيول قد تجعل بعض المسارات خطرة بعد المطر؛ لا تدخل مجرى الوادي أثناء الحالات الجوية غير المستقرة.</x:v>
      </x:c>
      <x:c r="O10" s="36" t="n">
        <x:v>38</x:v>
      </x:c>
      <x:c r="P10" s="34" t="str">
        <x:v>https://www.google.com/maps/search/?api=1&amp;query=%D9%88%D8%A7%D8%AF%D9%8A%20%D9%81%D8%A7%D8%B7%D9%85%D8%A9%20%D8%A7%D9%84%D8%AC%D9%85%D9%88%D9%85%20/%20%D8%B4%D9%85%D8%A7%D9%84%20%D9%85%D9%83%D8%A9%20%D8%A7%D9%84%D8%B3%D8%B9%D9%88%D8%AF%D9%8A%D8%A9</x:v>
      </x:c>
      <x:c r="Q10" s="34" t="str">
        <x:v>فيديو من قناة السعودية عن وادي فاطمة</x:v>
      </x:c>
      <x:c r="R10" s="34" t="str">
        <x:v>https://saudipedia.com/%D9%88%D8%A7%D8%AF%D9%8A-%D9%81%D8%A7%D8%B7%D9%85%D8%A9</x:v>
      </x:c>
      <x:c r="S10" s="34" t="str">
        <x:v>19-09-2026</x:v>
      </x:c>
    </x:row>
    <x:row r="11">
      <x:c r="A11" s="34" t="n">
        <x:v>7</x:v>
      </x:c>
      <x:c r="B11" s="34" t="str">
        <x:v>مكة المكرمة</x:v>
      </x:c>
      <x:c r="C11" s="34" t="str">
        <x:v>الجموم</x:v>
      </x:c>
      <x:c r="D11" s="34" t="str">
        <x:v>قرية الخيف بوادي فاطمة</x:v>
      </x:c>
      <x:c r="E11" s="34" t="str">
        <x:v>قرية / زراعة</x:v>
      </x:c>
      <x:c r="F11" s="34" t="str">
        <x:v>قرية قديمة مرتبطة بالمياه والمشاتل وبقايا السواقي والبرك والعيون.</x:v>
      </x:c>
      <x:c r="G11" s="36" t="n">
        <x:v>1</x:v>
      </x:c>
      <x:c r="H11" s="34" t="str">
        <x:v>منخفضة</x:v>
      </x:c>
      <x:c r="I11" s="36" t="n">
        <x:v>2</x:v>
      </x:c>
      <x:c r="J11" s="34" t="str">
        <x:v>سهلة نسبيًا</x:v>
      </x:c>
      <x:c r="K11" s="34" t="str">
        <x:v>2WD</x:v>
      </x:c>
      <x:c r="L11" s="34" t="str">
        <x:v>نوفمبر–مارس</x:v>
      </x:c>
      <x:c r="M11" s="34" t="str">
        <x:v>1–3 ساعات</x:v>
      </x:c>
      <x:c r="N11" s="34" t="str">
        <x:v>تجربة محلية أكثر من كونها موقعًا سياحيًا مجهزًا؛ احترام خصوصية السكان مهم.</x:v>
      </x:c>
      <x:c r="O11" s="36" t="str">
        <x:v>غير موثق في نتائج الخرائط التي تحققت منها</x:v>
      </x:c>
      <x:c r="P11" s="34" t="str">
        <x:v>https://www.google.com/maps/search/?api=1&amp;query=%D9%82%D8%B1%D9%8A%D8%A9%20%D8%A7%D9%84%D8%AE%D9%8A%D9%81%20%D8%A8%D9%88%D8%A7%D8%AF%D9%8A%20%D9%81%D8%A7%D8%B7%D9%85%D8%A9%20%D8%A7%D9%84%D8%AC%D9%85%D9%88%D9%85%20%D8%A7%D9%84%D8%B3%D8%B9%D9%88%D8%AF%D9%8A%D8%A9</x:v>
      </x:c>
      <x:c r="Q11" s="34" t="str">
        <x:v>بحث ويب/محتوى محلي</x:v>
      </x:c>
      <x:c r="R11" s="34" t="str">
        <x:v>https://www.alriyadh.com/2112369</x:v>
      </x:c>
      <x:c r="S11" s="34" t="str">
        <x:v>19-09-2026</x:v>
      </x:c>
    </x:row>
    <x:row r="12">
      <x:c r="A12" s="34" t="n">
        <x:v>8</x:v>
      </x:c>
      <x:c r="B12" s="34" t="str">
        <x:v>مكة المكرمة</x:v>
      </x:c>
      <x:c r="C12" s="34" t="str">
        <x:v>الجموم</x:v>
      </x:c>
      <x:c r="D12" s="34" t="str">
        <x:v>سوق مجنّة الأثري</x:v>
      </x:c>
      <x:c r="E12" s="34" t="str">
        <x:v>تراث / آثار</x:v>
      </x:c>
      <x:c r="F12" s="34" t="str">
        <x:v>موضع سوق عربي قديم ارتبط بموسم الحج؛ الموقع الأثري نفسه محدود المعالم حاليًا.</x:v>
      </x:c>
      <x:c r="G12" s="36" t="n">
        <x:v>1</x:v>
      </x:c>
      <x:c r="H12" s="34" t="str">
        <x:v>منخفضة جدًا</x:v>
      </x:c>
      <x:c r="I12" s="36" t="n">
        <x:v>3</x:v>
      </x:c>
      <x:c r="J12" s="34" t="str">
        <x:v>متوسطة</x:v>
      </x:c>
      <x:c r="K12" s="34" t="str">
        <x:v>2WD مع مشي قصير حسب نقطة الوصول</x:v>
      </x:c>
      <x:c r="L12" s="34" t="str">
        <x:v>نوفمبر–مارس</x:v>
      </x:c>
      <x:c r="M12" s="34" t="str">
        <x:v>1–2 ساعة</x:v>
      </x:c>
      <x:c r="N12" s="34" t="str">
        <x:v>الموضع الأثري ليس منتزهًا مطورًا؛ يفضل الاطلاع على آخر معلومات الجهات المحلية قبل الزيارة.</x:v>
      </x:c>
      <x:c r="O12" s="36" t="str">
        <x:v>غير متحقق</x:v>
      </x:c>
      <x:c r="P12" s="34" t="str">
        <x:v>https://www.google.com/maps/search/?api=1&amp;query=%D8%B3%D9%88%D9%82%20%D9%85%D8%AC%D9%86%D9%91%D8%A9%20%D8%A7%D9%84%D8%A3%D8%AB%D8%B1%D9%8A%20%D8%A7%D9%84%D8%AC%D9%85%D9%88%D9%85%20%D8%A7%D9%84%D8%B3%D8%B9%D9%88%D8%AF%D9%8A%D8%A9</x:v>
      </x:c>
      <x:c r="Q12" s="34" t="str">
        <x:v>بحث Google + مصدر رسمي</x:v>
      </x:c>
      <x:c r="R12" s="34" t="str">
        <x:v>https://spa.gov.sa/450074b7f6t</x:v>
      </x:c>
      <x:c r="S12" s="34" t="str">
        <x:v>19-09-2026</x:v>
      </x:c>
    </x:row>
    <x:row r="13">
      <x:c r="A13" s="34" t="n">
        <x:v>9</x:v>
      </x:c>
      <x:c r="B13" s="34" t="str">
        <x:v>مكة المكرمة</x:v>
      </x:c>
      <x:c r="C13" s="34" t="str">
        <x:v>الجموم / عسفان</x:v>
      </x:c>
      <x:c r="D13" s="34" t="str">
        <x:v>قلعة عسفان</x:v>
      </x:c>
      <x:c r="E13" s="34" t="str">
        <x:v>حصن / تاريخ</x:v>
      </x:c>
      <x:c r="F13" s="34" t="str">
        <x:v>قلعة حجرية فوق جبل كانت مرتبطة بحماية القوافل والحجاج على الطريق القديم.</x:v>
      </x:c>
      <x:c r="G13" s="36" t="n">
        <x:v>1</x:v>
      </x:c>
      <x:c r="H13" s="34" t="str">
        <x:v>منخفضة جدًا</x:v>
      </x:c>
      <x:c r="I13" s="36" t="n">
        <x:v>3</x:v>
      </x:c>
      <x:c r="J13" s="34" t="str">
        <x:v>متوسطة</x:v>
      </x:c>
      <x:c r="K13" s="34" t="str">
        <x:v>2WD حتى المنطقة؛ مشي قصير/صعود</x:v>
      </x:c>
      <x:c r="L13" s="34" t="str">
        <x:v>نوفمبر–مارس</x:v>
      </x:c>
      <x:c r="M13" s="34" t="str">
        <x:v>2–3 ساعات</x:v>
      </x:c>
      <x:c r="N13" s="34" t="str">
        <x:v>قد لا تتوفر تهيئة سياحية كاملة؛ صعود الموقع يحتاج حذرًا.</x:v>
      </x:c>
      <x:c r="O13" s="36" t="str">
        <x:v>غير متحقق</x:v>
      </x:c>
      <x:c r="P13" s="34" t="str">
        <x:v>https://www.google.com/maps/search/?api=1&amp;query=%D9%82%D9%84%D8%B9%D8%A9%20%D8%B9%D8%B3%D9%81%D8%A7%D9%86%20%D8%A7%D9%84%D8%AC%D9%85%D9%88%D9%85%20/%20%D8%B9%D8%B3%D9%81%D8%A7%D9%86%20%D8%A7%D9%84%D8%B3%D8%B9%D9%88%D8%AF%D9%8A%D8%A9</x:v>
      </x:c>
      <x:c r="Q13" s="34" t="str">
        <x:v>بحث Google + مصدر رسمي</x:v>
      </x:c>
      <x:c r="R13" s="34" t="str">
        <x:v>https://www.spa.gov.sa/N1981164</x:v>
      </x:c>
      <x:c r="S13" s="34" t="str">
        <x:v>19-09-2026</x:v>
      </x:c>
    </x:row>
    <x:row r="14">
      <x:c r="A14" s="34" t="n">
        <x:v>10</x:v>
      </x:c>
      <x:c r="B14" s="34" t="str">
        <x:v>مكة المكرمة</x:v>
      </x:c>
      <x:c r="C14" s="34" t="str">
        <x:v>العرضيات / القنفذة</x:v>
      </x:c>
      <x:c r="D14" s="34" t="str">
        <x:v>وادي قنونا</x:v>
      </x:c>
      <x:c r="E14" s="34" t="str">
        <x:v>وادي / طبيعة</x:v>
      </x:c>
      <x:c r="F14" s="34" t="str">
        <x:v>وادٍ تهامي كبير، مزارع ونخيل ومياه بعد الأمطار وتشكيلات صخرية ونقوش وآثار سوق حباشة.</x:v>
      </x:c>
      <x:c r="G14" s="36" t="n">
        <x:v>2</x:v>
      </x:c>
      <x:c r="H14" s="34" t="str">
        <x:v>منخفضة إلى متوسطة</x:v>
      </x:c>
      <x:c r="I14" s="36" t="n">
        <x:v>3</x:v>
      </x:c>
      <x:c r="J14" s="34" t="str">
        <x:v>متوسطة</x:v>
      </x:c>
      <x:c r="K14" s="34" t="str">
        <x:v>2WD على الطرق الرئيسية؛ 4x4 للاستكشاف الجانبي</x:v>
      </x:c>
      <x:c r="L14" s="34" t="str">
        <x:v>نوفمبر–فبراير؛ وبعد الأمطار مع تجنب السيول</x:v>
      </x:c>
      <x:c r="M14" s="34" t="str">
        <x:v>نصف يوم–يوم</x:v>
      </x:c>
      <x:c r="N14" s="34" t="str">
        <x:v>وضع المياه يتغير؛ في يوليو 2026 صُرّف من سد الوادي 7 ملايين م³ على مدى 20 يومًا، لذا راقب المستجدات المحلية.</x:v>
      </x:c>
      <x:c r="O14" s="36" t="n">
        <x:v>1114</x:v>
      </x:c>
      <x:c r="P14" s="34" t="str">
        <x:v>https://www.google.com/maps/search/?api=1&amp;query=%D9%88%D8%A7%D8%AF%D9%8A%20%D9%82%D9%86%D9%88%D9%86%D8%A7%20%D8%A7%D9%84%D8%B9%D8%B1%D8%B6%D9%8A%D8%A7%D8%AA%20/%20%D8%A7%D9%84%D9%82%D9%86%D9%81%D8%B0%D8%A9%20%D8%A7%D9%84%D8%B3%D8%B9%D9%88%D8%AF%D9%8A%D8%A9</x:v>
      </x:c>
      <x:c r="Q14" s="34" t="str">
        <x:v>تغطية واس + محتوى محلي</x:v>
      </x:c>
      <x:c r="R14" s="34" t="str">
        <x:v>https://www.spa.gov.sa/N2640844</x:v>
      </x:c>
      <x:c r="S14" s="34" t="str">
        <x:v>19-09-2026</x:v>
      </x:c>
    </x:row>
    <x:row r="15">
      <x:c r="A15" s="34" t="n">
        <x:v>11</x:v>
      </x:c>
      <x:c r="B15" s="34" t="str">
        <x:v>المدينة المنورة</x:v>
      </x:c>
      <x:c r="C15" s="34" t="str">
        <x:v>خيبر</x:v>
      </x:c>
      <x:c r="D15" s="34" t="str">
        <x:v>حرة خيبر</x:v>
      </x:c>
      <x:c r="E15" s="34" t="str">
        <x:v>بركان / جيولوجيا</x:v>
      </x:c>
      <x:c r="F15" s="34" t="str">
        <x:v>حقل بركاني واسع جدًا يضم مخاريط وفوهات وتضاريس سوداء وبيضاء، مناسب للسياحة الجيولوجية.</x:v>
      </x:c>
      <x:c r="G15" s="36" t="n">
        <x:v>2</x:v>
      </x:c>
      <x:c r="H15" s="34" t="str">
        <x:v>منخفضة نسبيًا</x:v>
      </x:c>
      <x:c r="I15" s="36" t="n">
        <x:v>5</x:v>
      </x:c>
      <x:c r="J15" s="34" t="str">
        <x:v>عالية جدًا</x:v>
      </x:c>
      <x:c r="K15" s="34" t="str">
        <x:v>4x4 موصى به للمسارات البعيدة</x:v>
      </x:c>
      <x:c r="L15" s="34" t="str">
        <x:v>أكتوبر–أبريل</x:v>
      </x:c>
      <x:c r="M15" s="34" t="str">
        <x:v>يوم كامل أو أكثر</x:v>
      </x:c>
      <x:c r="N15" s="34" t="str">
        <x:v>المسافات داخل الحرة كبيرة؛ لا تعتمد على تغطية جوال ثابتة، ويفضل الخرائط غير المتصلة ومركبة مناسبة.</x:v>
      </x:c>
      <x:c r="O15" s="36" t="n">
        <x:v>54</x:v>
      </x:c>
      <x:c r="P15" s="34" t="str">
        <x:v>https://www.google.com/maps/search/?api=1&amp;query=%D8%AD%D8%B1%D8%A9%20%D8%AE%D9%8A%D8%A8%D8%B1%20%D8%AE%D9%8A%D8%A8%D8%B1%20%D8%A7%D9%84%D8%B3%D8%B9%D9%88%D8%AF%D9%8A%D8%A9</x:v>
      </x:c>
      <x:c r="Q15" s="34" t="str">
        <x:v>محتوى رحلات/تصوير</x:v>
      </x:c>
      <x:c r="R15" s="34" t="str">
        <x:v>https://saudipedia.com/%D8%AD%D8%B1%D8%A9-%D8%AE%D9%8A%D8%A8%D8%B1</x:v>
      </x:c>
      <x:c r="S15" s="34" t="str">
        <x:v>19-09-2026</x:v>
      </x:c>
    </x:row>
    <x:row r="16">
      <x:c r="A16" s="34" t="n">
        <x:v>12</x:v>
      </x:c>
      <x:c r="B16" s="34" t="str">
        <x:v>المدينة المنورة</x:v>
      </x:c>
      <x:c r="C16" s="34" t="str">
        <x:v>خيبر / حرة خيبر</x:v>
      </x:c>
      <x:c r="D16" s="34" t="str">
        <x:v>جبل الأبيض</x:v>
      </x:c>
      <x:c r="E16" s="34" t="str">
        <x:v>جبل بركاني</x:v>
      </x:c>
      <x:c r="F16" s="34" t="str">
        <x:v>بركان مخروطي أبيض داخل حرة خيبر مع فوهة عميقة وتضاريس متباينة الألوان.</x:v>
      </x:c>
      <x:c r="G16" s="36" t="n">
        <x:v>2</x:v>
      </x:c>
      <x:c r="H16" s="34" t="str">
        <x:v>منخفضة</x:v>
      </x:c>
      <x:c r="I16" s="36" t="n">
        <x:v>5</x:v>
      </x:c>
      <x:c r="J16" s="34" t="str">
        <x:v>عالية جدًا</x:v>
      </x:c>
      <x:c r="K16" s="34" t="str">
        <x:v>4x4 + مشي</x:v>
      </x:c>
      <x:c r="L16" s="34" t="str">
        <x:v>أكتوبر–أبريل</x:v>
      </x:c>
      <x:c r="M16" s="34" t="str">
        <x:v>نصف يوم–يوم</x:v>
      </x:c>
      <x:c r="N16" s="34" t="str">
        <x:v>أفضل كجزء من رحلة منظّمة لحرة خيبر، وليس كزيارة منفصلة من المدينة.</x:v>
      </x:c>
      <x:c r="O16" s="36" t="str">
        <x:v>غير متحقق</x:v>
      </x:c>
      <x:c r="P16" s="34" t="str">
        <x:v>https://www.google.com/maps/search/?api=1&amp;query=%D8%AC%D8%A8%D9%84%20%D8%A7%D9%84%D8%A3%D8%A8%D9%8A%D8%B6%20%D8%AE%D9%8A%D8%A8%D8%B1%20/%20%D8%AD%D8%B1%D8%A9%20%D8%AE%D9%8A%D8%A8%D8%B1%20%D8%A7%D9%84%D8%B3%D8%B9%D9%88%D8%AF%D9%8A%D8%A9</x:v>
      </x:c>
      <x:c r="Q16" s="34" t="str">
        <x:v>روح السعودية ذكرت استكشافه بالمشي</x:v>
      </x:c>
      <x:c r="R16" s="34" t="str">
        <x:v>https://saudipedia.com/%D8%AC%D8%A8%D9%84-%D8%A7%D9%84%D8%A3%D8%A8%D9%8A%D8%B6</x:v>
      </x:c>
      <x:c r="S16" s="34" t="str">
        <x:v>19-09-2026</x:v>
      </x:c>
    </x:row>
    <x:row r="17">
      <x:c r="A17" s="34" t="n">
        <x:v>13</x:v>
      </x:c>
      <x:c r="B17" s="34" t="str">
        <x:v>المدينة المنورة</x:v>
      </x:c>
      <x:c r="C17" s="34" t="str">
        <x:v>وادي الفرع</x:v>
      </x:c>
      <x:c r="D17" s="34" t="str">
        <x:v>وادي الفرع</x:v>
      </x:c>
      <x:c r="E17" s="34" t="str">
        <x:v>وادي / ريف</x:v>
      </x:c>
      <x:c r="F17" s="34" t="str">
        <x:v>محافظة قليلة السكان نسبيًا مقارنة بمدن المنطقة، تضم أودية وقرى ومزارع وتضاريس ريفية.</x:v>
      </x:c>
      <x:c r="G17" s="36" t="n">
        <x:v>1</x:v>
      </x:c>
      <x:c r="H17" s="34" t="str">
        <x:v>منخفضة</x:v>
      </x:c>
      <x:c r="I17" s="36" t="n">
        <x:v>4</x:v>
      </x:c>
      <x:c r="J17" s="34" t="str">
        <x:v>مرتفعة</x:v>
      </x:c>
      <x:c r="K17" s="34" t="str">
        <x:v>2WD للطرق الرئيسية؛ 4x4 للاستكشاف الريفي</x:v>
      </x:c>
      <x:c r="L17" s="34" t="str">
        <x:v>نوفمبر–مارس</x:v>
      </x:c>
      <x:c r="M17" s="34" t="str">
        <x:v>يوم كامل</x:v>
      </x:c>
      <x:c r="N17" s="34" t="str">
        <x:v>الوجهة مناسبة لمن يريد تجربة محلية أكثر من معلم واحد محدد؛ خطط مسبقًا للتزود بالوقود.</x:v>
      </x:c>
      <x:c r="O17" s="36" t="str">
        <x:v>غير موثق في نتائج الخرائط التي تحققت منها</x:v>
      </x:c>
      <x:c r="P17" s="34" t="str">
        <x:v>https://www.google.com/maps/search/?api=1&amp;query=%D9%88%D8%A7%D8%AF%D9%8A%20%D8%A7%D9%84%D9%81%D8%B1%D8%B9%20%D9%88%D8%A7%D8%AF%D9%8A%20%D8%A7%D9%84%D9%81%D8%B1%D8%B9%20%D8%A7%D9%84%D8%B3%D8%B9%D9%88%D8%AF%D9%8A%D8%A9</x:v>
      </x:c>
      <x:c r="Q17" s="34" t="str">
        <x:v>بحث ويب/محتوى محلي</x:v>
      </x:c>
      <x:c r="R17" s="34" t="str">
        <x:v>https://saudipedia.com/%D9%85%D8%AD%D8%A7%D9%81%D8%B8%D8%A9-%D9%88%D8%A7%D8%AF%D9%8A-%D8%A7%D9%84%D9%81%D8%B1%D8%B9</x:v>
      </x:c>
      <x:c r="S17" s="34" t="str">
        <x:v>19-09-2026</x:v>
      </x:c>
    </x:row>
    <x:row r="18">
      <x:c r="A18" s="34" t="n">
        <x:v>14</x:v>
      </x:c>
      <x:c r="B18" s="34" t="str">
        <x:v>المدينة المنورة</x:v>
      </x:c>
      <x:c r="C18" s="34" t="str">
        <x:v>جنوب المدينة</x:v>
      </x:c>
      <x:c r="D18" s="34" t="str">
        <x:v>وادي العقيق (المقاطع الأقل تطويرًا)</x:v>
      </x:c>
      <x:c r="E18" s="34" t="str">
        <x:v>وادي / تاريخ</x:v>
      </x:c>
      <x:c r="F18" s="34" t="str">
        <x:v>وادي تاريخي طويل مع آثار قصور قديمة ومجرى موسمي؛ توجد أجزاء مؤهلة داخل النطاق الحضري وأجزاء ريفية أقل حضورًا.</x:v>
      </x:c>
      <x:c r="G18" s="36" t="n">
        <x:v>3</x:v>
      </x:c>
      <x:c r="H18" s="34" t="str">
        <x:v>متوسطة</x:v>
      </x:c>
      <x:c r="I18" s="36" t="n">
        <x:v>2</x:v>
      </x:c>
      <x:c r="J18" s="34" t="str">
        <x:v>متوسطة قرب المدينة / 3 ريفيًا</x:v>
      </x:c>
      <x:c r="K18" s="34" t="str">
        <x:v>2WD</x:v>
      </x:c>
      <x:c r="L18" s="34" t="str">
        <x:v>نوفمبر–مارس</x:v>
      </x:c>
      <x:c r="M18" s="34" t="str">
        <x:v>2–5 ساعات</x:v>
      </x:c>
      <x:c r="N18" s="34" t="str">
        <x:v>للاكتشاف الهادئ ركز على الأجزاء غير الحضرية، مع الانتباه لأعمال التأهيل في المقاطع المطورة.</x:v>
      </x:c>
      <x:c r="O18" s="36" t="n">
        <x:v>1083</x:v>
      </x:c>
      <x:c r="P18" s="34" t="str">
        <x:v>https://www.google.com/maps/search/?api=1&amp;query=%D9%88%D8%A7%D8%AF%D9%8A%20%D8%A7%D9%84%D8%B9%D9%82%D9%8A%D9%82%20%28%D8%A7%D9%84%D9%85%D9%82%D8%A7%D8%B7%D8%B9%20%D8%A7%D9%84%D8%A3%D9%82%D9%84%20%D8%AA%D8%B7%D9%88%D9%8A%D8%B1%D9%8B%D8%A7%29%20%D8%AC%D9%86%D9%88%D8%A8%20%D8%A7%D9%84%D9%85%D8%AF%D9%8A%D9%86%D8%A9%20%D8%A7%D9%84%D8%B3%D8%B9%D9%88%D8%AF%D9%8A%D8%A9</x:v>
      </x:c>
      <x:c r="Q18" s="34" t="str">
        <x:v>مشاريع تأهيل رسمية + محتوى محلي</x:v>
      </x:c>
      <x:c r="R18" s="34" t="str">
        <x:v>https://saudipedia.com/%D9%88%D8%A7%D8%AF%D9%8A-%D8%A7%D9%84%D8%B9%D9%82%D9%8A%D9%82-%D9%81%D9%8A-%D8%A7%D9%84%D9%85%D8%AF%D9%8A%D9%86%D8%A9-%D8%A7%D9%84%D9%85%D9%86%D9%88%D8%B1%D8%A9</x:v>
      </x:c>
      <x:c r="S18" s="34" t="str">
        <x:v>19-09-2026</x:v>
      </x:c>
    </x:row>
    <x:row r="19">
      <x:c r="A19" s="34" t="n">
        <x:v>15</x:v>
      </x:c>
      <x:c r="B19" s="34" t="str">
        <x:v>المدينة المنورة</x:v>
      </x:c>
      <x:c r="C19" s="34" t="str">
        <x:v>المدينة / شمال غربها</x:v>
      </x:c>
      <x:c r="D19" s="34" t="str">
        <x:v>وادي البيضاء</x:v>
      </x:c>
      <x:c r="E19" s="34" t="str">
        <x:v>وادي / طبيعة</x:v>
      </x:c>
      <x:c r="F19" s="34" t="str">
        <x:v>تضاريس ووادٍ معروف محليًا بإطلالاته ومساراته؛ يجمع الطبيعة والتاريخ.</x:v>
      </x:c>
      <x:c r="G19" s="36" t="n">
        <x:v>3</x:v>
      </x:c>
      <x:c r="H19" s="34" t="str">
        <x:v>متوسطة</x:v>
      </x:c>
      <x:c r="I19" s="36" t="n">
        <x:v>3</x:v>
      </x:c>
      <x:c r="J19" s="34" t="str">
        <x:v>متوسطة</x:v>
      </x:c>
      <x:c r="K19" s="34" t="str">
        <x:v>2WD للمداخل؛ 4x4 لبعض المسارات</x:v>
      </x:c>
      <x:c r="L19" s="34" t="str">
        <x:v>نوفمبر–مارس</x:v>
      </x:c>
      <x:c r="M19" s="34" t="str">
        <x:v>3–5 ساعات</x:v>
      </x:c>
      <x:c r="N19" s="34" t="str">
        <x:v>بعد الأمطار قد تتغير قابلية بعض المسارات.</x:v>
      </x:c>
      <x:c r="O19" s="36" t="n">
        <x:v>2563</x:v>
      </x:c>
      <x:c r="P19" s="34" t="str">
        <x:v>https://www.google.com/maps/search/?api=1&amp;query=%D9%88%D8%A7%D8%AF%D9%8A%20%D8%A7%D9%84%D8%A8%D9%8A%D8%B6%D8%A7%D8%A1%20%D8%A7%D9%84%D9%85%D8%AF%D9%8A%D9%86%D8%A9%20/%20%D8%B4%D9%85%D8%A7%D9%84%20%D8%BA%D8%B1%D8%A8%D9%87%D8%A7%20%D8%A7%D9%84%D8%B3%D8%B9%D9%88%D8%AF%D9%8A%D8%A9</x:v>
      </x:c>
      <x:c r="Q19" s="34" t="str">
        <x:v>Google Maps</x:v>
      </x:c>
      <x:c r="R19" s="34" t="str">
        <x:v>https://www.google.com/maps/search/?api=1&amp;query=%D9%88%D8%A7%D8%AF%D9%8A+%D8%A7%D9%84%D8%A8%D9%8A%D8%B6%D8%A7%D8%A1+%D8%A7%D9%84%D9%85%D8%AF%D9%8A%D9%86%D8%A9</x:v>
      </x:c>
      <x:c r="S19" s="34" t="str">
        <x:v>19-09-2026</x:v>
      </x:c>
    </x:row>
    <x:row r="20">
      <x:c r="A20" s="34" t="n">
        <x:v>16</x:v>
      </x:c>
      <x:c r="B20" s="34" t="str">
        <x:v>القصيم</x:v>
      </x:c>
      <x:c r="C20" s="34" t="str">
        <x:v>رياض الخبراء</x:v>
      </x:c>
      <x:c r="D20" s="34" t="str">
        <x:v>بلدة الخبراء التراثية</x:v>
      </x:c>
      <x:c r="E20" s="34" t="str">
        <x:v>تراث / عمارة نجدية</x:v>
      </x:c>
      <x:c r="F20" s="34" t="str">
        <x:v>أحياء ومنازل طينية تاريخية على ضفة وادي الرمة؛ تخطيط نجدي محفوظ.</x:v>
      </x:c>
      <x:c r="G20" s="36" t="n">
        <x:v>2</x:v>
      </x:c>
      <x:c r="H20" s="34" t="str">
        <x:v>منخفضة</x:v>
      </x:c>
      <x:c r="I20" s="36" t="n">
        <x:v>2</x:v>
      </x:c>
      <x:c r="J20" s="34" t="str">
        <x:v>سهلة نسبيًا</x:v>
      </x:c>
      <x:c r="K20" s="34" t="str">
        <x:v>2WD</x:v>
      </x:c>
      <x:c r="L20" s="34" t="str">
        <x:v>نوفمبر–فبراير</x:v>
      </x:c>
      <x:c r="M20" s="34" t="str">
        <x:v>2–4 ساعات</x:v>
      </x:c>
      <x:c r="N20" s="34" t="str">
        <x:v>ممتازة للتصوير والعمارة التقليدية.</x:v>
      </x:c>
      <x:c r="O20" s="36" t="str">
        <x:v>481</x:v>
      </x:c>
      <x:c r="P20" s="34" t="str">
        <x:v>https://www.google.com/maps/search/?api=1&amp;query=%D8%A8%D9%84%D8%AF%D8%A9%20%D8%A7%D9%84%D8%AE%D8%A8%D8%B1%D8%A7%D8%A1%20%D8%A7%D9%84%D8%AA%D8%B1%D8%A7%D8%AB%D9%8A%D8%A9%20%D8%B1%D9%8A%D8%A7%D8%B6%20%D8%A7%D9%84%D8%AE%D8%A8%D8%B1%D8%A7%D8%A1%20%D8%A7%D9%84%D8%B3%D8%B9%D9%88%D8%AF%D9%8A%D8%A9</x:v>
      </x:c>
      <x:c r="Q20" s="34" t="str">
        <x:v>بحث ويب/محتوى محلي</x:v>
      </x:c>
      <x:c r="R20" s="34" t="str">
        <x:v>https://saudipedia.com/%D9%82%D8%A7%D8%A6%D9%85%D8%A9-%D9%82%D8%B1%D9%89-%D9%88%D8%A8%D9%84%D8%AF%D8%A7%D8%AA-%D8%AA%D8%B1%D8%A7%D8%AB%D9%8A%D8%A9-%D8%A8%D8%A7%D8%B1%D8%B2%D8%A9-%D9%81%D9%8A-%D9%85%D9%86%D8%B7%D9%82%D8%A9-%D8%A7%D9%84%D9%82%D8%B5%D9%8A%D9%85</x:v>
      </x:c>
      <x:c r="S20" s="34" t="str">
        <x:v>19-09-2026</x:v>
      </x:c>
    </x:row>
    <x:row r="21">
      <x:c r="A21" s="34" t="n">
        <x:v>17</x:v>
      </x:c>
      <x:c r="B21" s="34" t="str">
        <x:v>القصيم</x:v>
      </x:c>
      <x:c r="C21" s="34" t="str">
        <x:v>المذنب</x:v>
      </x:c>
      <x:c r="D21" s="34" t="str">
        <x:v>بلدة المذنب التراثية</x:v>
      </x:c>
      <x:c r="E21" s="34" t="str">
        <x:v>تراث / عمارة نجدية</x:v>
      </x:c>
      <x:c r="F21" s="34" t="str">
        <x:v>بلدة تراثية عمرها نحو 700 عام مع مبانٍ وأسواق وأزقة نجديّة أعيد تأهيلها.</x:v>
      </x:c>
      <x:c r="G21" s="36" t="n">
        <x:v>3</x:v>
      </x:c>
      <x:c r="H21" s="34" t="str">
        <x:v>متوسطة</x:v>
      </x:c>
      <x:c r="I21" s="36" t="n">
        <x:v>2</x:v>
      </x:c>
      <x:c r="J21" s="34" t="str">
        <x:v>سهلة نسبيًا</x:v>
      </x:c>
      <x:c r="K21" s="34" t="str">
        <x:v>2WD</x:v>
      </x:c>
      <x:c r="L21" s="34" t="str">
        <x:v>نوفمبر–فبراير</x:v>
      </x:c>
      <x:c r="M21" s="34" t="str">
        <x:v>2–4 ساعات</x:v>
      </x:c>
      <x:c r="N21" s="34" t="str">
        <x:v>أكثر تنظيمًا من المواقع الريفية البعيدة، لكنها أقل حضورًا وطنيًا من المواقع الكبرى.</x:v>
      </x:c>
      <x:c r="O21" s="36" t="str">
        <x:v>481</x:v>
      </x:c>
      <x:c r="P21" s="34" t="str">
        <x:v>https://www.google.com/maps/search/?api=1&amp;query=%D8%A8%D9%84%D8%AF%D8%A9%20%D8%A7%D9%84%D9%85%D8%B0%D9%86%D8%A8%20%D8%A7%D9%84%D8%AA%D8%B1%D8%A7%D8%AB%D9%8A%D8%A9%20%D8%A7%D9%84%D9%85%D8%B0%D9%86%D8%A8%20%D8%A7%D9%84%D8%B3%D8%B9%D9%88%D8%AF%D9%8A%D8%A9</x:v>
      </x:c>
      <x:c r="Q21" s="34" t="str">
        <x:v>بحث ويب/محتوى محلي</x:v>
      </x:c>
      <x:c r="R21" s="34" t="str">
        <x:v>https://saudipedia.com/%D8%A8%D9%84%D8%AF%D8%A9-%D8%A7%D9%84%D9%85%D8%B0%D9%86%D8%A8-%D8%A7%D9%84%D8%AA%D8%B1%D8%A7%D8%AB%D9%8A%D8%A9</x:v>
      </x:c>
      <x:c r="S21" s="34" t="str">
        <x:v>19-09-2026</x:v>
      </x:c>
    </x:row>
    <x:row r="22">
      <x:c r="A22" s="34" t="n">
        <x:v>18</x:v>
      </x:c>
      <x:c r="B22" s="34" t="str">
        <x:v>القصيم</x:v>
      </x:c>
      <x:c r="C22" s="34" t="str">
        <x:v>بريدة / الغماس</x:v>
      </x:c>
      <x:c r="D22" s="34" t="str">
        <x:v>لصف التراثية</x:v>
      </x:c>
      <x:c r="E22" s="34" t="str">
        <x:v>تراث / متحف</x:v>
      </x:c>
      <x:c r="F22" s="34" t="str">
        <x:v>موقع تراثي محلي أقل تداولًا، يرتكز على العمارة والمقتنيات التراثية.</x:v>
      </x:c>
      <x:c r="G22" s="36" t="n">
        <x:v>1</x:v>
      </x:c>
      <x:c r="H22" s="34" t="str">
        <x:v>منخفضة جدًا</x:v>
      </x:c>
      <x:c r="I22" s="36" t="n">
        <x:v>2</x:v>
      </x:c>
      <x:c r="J22" s="34" t="str">
        <x:v>سهلة نسبيًا</x:v>
      </x:c>
      <x:c r="K22" s="34" t="str">
        <x:v>2WD</x:v>
      </x:c>
      <x:c r="L22" s="34" t="str">
        <x:v>نوفمبر–فبراير</x:v>
      </x:c>
      <x:c r="M22" s="34" t="str">
        <x:v>1–2 ساعة</x:v>
      </x:c>
      <x:c r="N22" s="34" t="str">
        <x:v>قد تختلف ساعات الفتح؛ تحقق من الخرائط قبل الذهاب.</x:v>
      </x:c>
      <x:c r="O22" s="36" t="n">
        <x:v>65</x:v>
      </x:c>
      <x:c r="P22" s="34" t="str">
        <x:v>https://www.google.com/maps/search/?api=1&amp;query=%D9%84%D8%B5%D9%81%20%D8%A7%D9%84%D8%AA%D8%B1%D8%A7%D8%AB%D9%8A%D8%A9%20%D8%A8%D8%B1%D9%8A%D8%AF%D8%A9%20/%20%D8%A7%D9%84%D8%BA%D9%85%D8%A7%D8%B3%20%D8%A7%D9%84%D8%B3%D8%B9%D9%88%D8%AF%D9%8A%D8%A9</x:v>
      </x:c>
      <x:c r="Q22" s="34" t="str">
        <x:v>Google Maps</x:v>
      </x:c>
      <x:c r="R22" s="34" t="str">
        <x:v>https://www.google.com/maps/search/?api=1&amp;query=%D9%84%D8%B5%D9%81+%D8%A7%D9%84%D8%AA%D8%B1%D8%A7%D8%AB%D9%8A%D8%A9+%D8%A7%D9%84%D9%82%D8%B5%D9%8A%D9%85</x:v>
      </x:c>
      <x:c r="S22" s="34" t="str">
        <x:v>19-09-2026</x:v>
      </x:c>
    </x:row>
    <x:row r="23">
      <x:c r="A23" s="34" t="n">
        <x:v>19</x:v>
      </x:c>
      <x:c r="B23" s="34" t="str">
        <x:v>القصيم</x:v>
      </x:c>
      <x:c r="C23" s="34" t="str">
        <x:v>عيون الجواء</x:v>
      </x:c>
      <x:c r="D23" s="34" t="str">
        <x:v>القرية التراثية في عيون الجواء</x:v>
      </x:c>
      <x:c r="E23" s="34" t="str">
        <x:v>تراث / قرية</x:v>
      </x:c>
      <x:c r="F23" s="34" t="str">
        <x:v>قرية ومبانٍ تراثية تعكس نمط العمارة النجدية المحلية.</x:v>
      </x:c>
      <x:c r="G23" s="36" t="n">
        <x:v>2</x:v>
      </x:c>
      <x:c r="H23" s="34" t="str">
        <x:v>منخفضة</x:v>
      </x:c>
      <x:c r="I23" s="36" t="n">
        <x:v>2</x:v>
      </x:c>
      <x:c r="J23" s="34" t="str">
        <x:v>سهلة نسبيًا</x:v>
      </x:c>
      <x:c r="K23" s="34" t="str">
        <x:v>2WD</x:v>
      </x:c>
      <x:c r="L23" s="34" t="str">
        <x:v>نوفمبر–فبراير</x:v>
      </x:c>
      <x:c r="M23" s="34" t="str">
        <x:v>1–3 ساعات</x:v>
      </x:c>
      <x:c r="N23" s="34" t="str">
        <x:v>مناسبة مع الخبراء والمذنب في مسار تراثي بالقصيم.</x:v>
      </x:c>
      <x:c r="O23" s="36" t="n">
        <x:v>429</x:v>
      </x:c>
      <x:c r="P23" s="34" t="str">
        <x:v>https://www.google.com/maps/search/?api=1&amp;query=%D8%A7%D9%84%D9%82%D8%B1%D9%8A%D8%A9%20%D8%A7%D9%84%D8%AA%D8%B1%D8%A7%D8%AB%D9%8A%D8%A9%20%D9%81%D9%8A%20%D8%B9%D9%8A%D9%88%D9%86%20%D8%A7%D9%84%D8%AC%D9%88%D8%A7%D8%A1%20%D8%B9%D9%8A%D9%88%D9%86%20%D8%A7%D9%84%D8%AC%D9%88%D8%A7%D8%A1%20%D8%A7%D9%84%D8%B3%D8%B9%D9%88%D8%AF%D9%8A%D8%A9</x:v>
      </x:c>
      <x:c r="Q23" s="34" t="str">
        <x:v>Google Maps</x:v>
      </x:c>
      <x:c r="R23" s="34" t="str">
        <x:v>https://www.google.com/maps/search/?api=1&amp;query=%D8%A7%D9%84%D9%82%D8%B1%D9%8A%D8%A9+%D8%A7%D9%84%D8%AA%D8%B1%D8%A7%D8%AB%D9%8A%D8%A9+%D8%B9%D9%8A%D9%88%D9%86+%D8%A7%D9%84%D8%AC%D9%88%D8%A7%D8%A1</x:v>
      </x:c>
      <x:c r="S23" s="34" t="str">
        <x:v>19-09-2026</x:v>
      </x:c>
    </x:row>
    <x:row r="24">
      <x:c r="A24" s="34" t="n">
        <x:v>20</x:v>
      </x:c>
      <x:c r="B24" s="34" t="str">
        <x:v>القصيم</x:v>
      </x:c>
      <x:c r="C24" s="34" t="str">
        <x:v>الشنانة / الرس</x:v>
      </x:c>
      <x:c r="D24" s="34" t="str">
        <x:v>برج الشنانة</x:v>
      </x:c>
      <x:c r="E24" s="34" t="str">
        <x:v>تراث / معلم تاريخي</x:v>
      </x:c>
      <x:c r="F24" s="34" t="str">
        <x:v>برج طيني مرتفع ضمن منظومة قرى تاريخية في الرس، مناسب للتصوير والسياحة الثقافية.</x:v>
      </x:c>
      <x:c r="G24" s="36" t="n">
        <x:v>2</x:v>
      </x:c>
      <x:c r="H24" s="34" t="str">
        <x:v>منخفضة</x:v>
      </x:c>
      <x:c r="I24" s="36" t="n">
        <x:v>2</x:v>
      </x:c>
      <x:c r="J24" s="34" t="str">
        <x:v>سهلة نسبيًا</x:v>
      </x:c>
      <x:c r="K24" s="34" t="str">
        <x:v>2WD</x:v>
      </x:c>
      <x:c r="L24" s="34" t="str">
        <x:v>نوفمبر–فبراير</x:v>
      </x:c>
      <x:c r="M24" s="34" t="str">
        <x:v>1–2 ساعة</x:v>
      </x:c>
      <x:c r="N24" s="34" t="str">
        <x:v>تجربة قصيرة؛ يمكن دمجها مع مواقع الرس التراثية.</x:v>
      </x:c>
      <x:c r="O24" s="36" t="str">
        <x:v>غير متحقق</x:v>
      </x:c>
      <x:c r="P24" s="34" t="str">
        <x:v>https://www.google.com/maps/search/?api=1&amp;query=%D8%A8%D8%B1%D8%AC%20%D8%A7%D9%84%D8%B4%D9%86%D8%A7%D9%86%D8%A9%20%D8%A7%D9%84%D8%B4%D9%86%D8%A7%D9%86%D8%A9%20/%20%D8%A7%D9%84%D8%B1%D8%B3%20%D8%A7%D9%84%D8%B3%D8%B9%D9%88%D8%AF%D9%8A%D8%A9</x:v>
      </x:c>
      <x:c r="Q24" s="34" t="str">
        <x:v>بحث Google/Maps</x:v>
      </x:c>
      <x:c r="R24" s="34" t="str">
        <x:v>https://www.google.com/maps/search/?api=1&amp;query=%D8%A8%D8%B1%D8%AC+%D8%A7%D9%84%D8%B4%D9%86%D8%A7%D9%86%D8%A9+الرس</x:v>
      </x:c>
      <x:c r="S24" s="34" t="str">
        <x:v>19-09-2026</x:v>
      </x:c>
    </x:row>
    <x:row r="25">
      <x:c r="A25" s="34" t="n">
        <x:v>21</x:v>
      </x:c>
      <x:c r="B25" s="34" t="str">
        <x:v>المنطقة الشرقية</x:v>
      </x:c>
      <x:c r="C25" s="34" t="str">
        <x:v>الأحساء</x:v>
      </x:c>
      <x:c r="D25" s="34" t="str">
        <x:v>بحيرة الأصفر</x:v>
      </x:c>
      <x:c r="E25" s="34" t="str">
        <x:v>بحيرة / بيئة صحراوية</x:v>
      </x:c>
      <x:c r="F25" s="34" t="str">
        <x:v>بحيرة وسط الكثبان والرمال، تحيط بها حشائش ونباتات صحراوية وتتحول حسب الموسم.</x:v>
      </x:c>
      <x:c r="G25" s="36" t="n">
        <x:v>3</x:v>
      </x:c>
      <x:c r="H25" s="34" t="str">
        <x:v>متوسطة</x:v>
      </x:c>
      <x:c r="I25" s="36" t="n">
        <x:v>3</x:v>
      </x:c>
      <x:c r="J25" s="34" t="str">
        <x:v>متوسطة</x:v>
      </x:c>
      <x:c r="K25" s="34" t="str">
        <x:v>4x4 مفضل، خصوصًا للاستكشاف حول الكثبان</x:v>
      </x:c>
      <x:c r="L25" s="34" t="str">
        <x:v>نوفمبر–مارس</x:v>
      </x:c>
      <x:c r="M25" s="34" t="str">
        <x:v>3–5 ساعات</x:v>
      </x:c>
      <x:c r="N25" s="34" t="str">
        <x:v>لا تعتمد على ثبات المياه؛ بعض المسارات الرملية تتطلب قيادة صحراوية جيدة.</x:v>
      </x:c>
      <x:c r="O25" s="36" t="n">
        <x:v>577</x:v>
      </x:c>
      <x:c r="P25" s="34" t="str">
        <x:v>https://www.google.com/maps/search/?api=1&amp;query=%D8%A8%D8%AD%D9%8A%D8%B1%D8%A9%20%D8%A7%D9%84%D8%A3%D8%B5%D9%81%D8%B1%20%D8%A7%D9%84%D8%A3%D8%AD%D8%B3%D8%A7%D8%A1%20%D8%A7%D9%84%D8%B3%D8%B9%D9%88%D8%AF%D9%8A%D8%A9</x:v>
      </x:c>
      <x:c r="Q25" s="34" t="str">
        <x:v>محتوى تصوير ورحلات</x:v>
      </x:c>
      <x:c r="R25" s="34" t="str">
        <x:v>https://saudipedia.com/%D9%85%D8%AD%D8%A7%D9%81%D8%B8%D8%A9-%D8%A7%D9%84%D8%A3%D8%AD%D8%B3%D8%A7%D8%A1</x:v>
      </x:c>
      <x:c r="S25" s="34" t="str">
        <x:v>19-09-2026</x:v>
      </x:c>
    </x:row>
    <x:row r="26">
      <x:c r="A26" s="34" t="n">
        <x:v>22</x:v>
      </x:c>
      <x:c r="B26" s="34" t="str">
        <x:v>المنطقة الشرقية</x:v>
      </x:c>
      <x:c r="C26" s="34" t="str">
        <x:v>الأحساء / جبل القارة</x:v>
      </x:c>
      <x:c r="D26" s="34" t="str">
        <x:v>مغارة النشاب</x:v>
      </x:c>
      <x:c r="E26" s="34" t="str">
        <x:v>مغارة / جيولوجيا</x:v>
      </x:c>
      <x:c r="F26" s="34" t="str">
        <x:v>مغارة طبيعية أقل شهرة من المعلم الأشهر في جبل القارة، بتكوينات صخرية وممرات قصيرة.</x:v>
      </x:c>
      <x:c r="G26" s="36" t="n">
        <x:v>2</x:v>
      </x:c>
      <x:c r="H26" s="34" t="str">
        <x:v>منخفضة</x:v>
      </x:c>
      <x:c r="I26" s="36" t="n">
        <x:v>2</x:v>
      </x:c>
      <x:c r="J26" s="34" t="str">
        <x:v>متوسطة</x:v>
      </x:c>
      <x:c r="K26" s="34" t="str">
        <x:v>2WD حتى المنطقة؛ مشي</x:v>
      </x:c>
      <x:c r="L26" s="34" t="str">
        <x:v>نوفمبر–مارس</x:v>
      </x:c>
      <x:c r="M26" s="34" t="str">
        <x:v>1–3 ساعات</x:v>
      </x:c>
      <x:c r="N26" s="34" t="str">
        <x:v>تأكد من إمكانية الدخول الفعلية ومراعاة سلامة الأسطح الزلقة.</x:v>
      </x:c>
      <x:c r="O26" s="36" t="n">
        <x:v>202</x:v>
      </x:c>
      <x:c r="P26" s="34" t="str">
        <x:v>https://www.google.com/maps/search/?api=1&amp;query=%D9%85%D8%BA%D8%A7%D8%B1%D8%A9%20%D8%A7%D9%84%D9%86%D8%B4%D8%A7%D8%A8%20%D8%A7%D9%84%D8%A3%D8%AD%D8%B3%D8%A7%D8%A1%20/%20%D8%AC%D8%A8%D9%84%20%D8%A7%D9%84%D9%82%D8%A7%D8%B1%D8%A9%20%D8%A7%D9%84%D8%B3%D8%B9%D9%88%D8%AF%D9%8A%D8%A9</x:v>
      </x:c>
      <x:c r="Q26" s="34" t="str">
        <x:v>Google Maps</x:v>
      </x:c>
      <x:c r="R26" s="34" t="str">
        <x:v>https://www.google.com/maps/search/?api=1&amp;query=%D9%85%D8%BA%D8%A7%D8%B1%D8%A9+%D8%A7%D9%84%D9%86%D8%B4%D8%A7%D8%A8+%D8%A7%D9%84%D8%A3%D8%AD%D8%B3%D8%A7%D8%A1</x:v>
      </x:c>
      <x:c r="S26" s="34" t="str">
        <x:v>19-09-2026</x:v>
      </x:c>
    </x:row>
    <x:row r="27">
      <x:c r="A27" s="34" t="n">
        <x:v>23</x:v>
      </x:c>
      <x:c r="B27" s="34" t="str">
        <x:v>المنطقة الشرقية</x:v>
      </x:c>
      <x:c r="C27" s="34" t="str">
        <x:v>العقير / الأحساء</x:v>
      </x:c>
      <x:c r="D27" s="34" t="str">
        <x:v>ميناء العقير التاريخي</x:v>
      </x:c>
      <x:c r="E27" s="34" t="str">
        <x:v>ساحل / تاريخ</x:v>
      </x:c>
      <x:c r="F27" s="34" t="str">
        <x:v>أحد أقدم الموانئ في المملكة، مع شاطئ ومبانٍ ومشهد ساحلي هادئ نسبيًا.</x:v>
      </x:c>
      <x:c r="G27" s="36" t="n">
        <x:v>3</x:v>
      </x:c>
      <x:c r="H27" s="34" t="str">
        <x:v>متوسطة</x:v>
      </x:c>
      <x:c r="I27" s="36" t="n">
        <x:v>3</x:v>
      </x:c>
      <x:c r="J27" s="34" t="str">
        <x:v>متوسطة</x:v>
      </x:c>
      <x:c r="K27" s="34" t="str">
        <x:v>2WD</x:v>
      </x:c>
      <x:c r="L27" s="34" t="str">
        <x:v>نوفمبر–مارس</x:v>
      </x:c>
      <x:c r="M27" s="34" t="str">
        <x:v>3–5 ساعات</x:v>
      </x:c>
      <x:c r="N27" s="34" t="str">
        <x:v>يمكن دمجه مع رحلة الأحساء؛ تجنب الحر الشديد في الصيف.</x:v>
      </x:c>
      <x:c r="O27" s="36" t="n">
        <x:v>270</x:v>
      </x:c>
      <x:c r="P27" s="34" t="str">
        <x:v>https://www.google.com/maps/search/?api=1&amp;query=%D9%85%D9%8A%D9%86%D8%A7%D8%A1%20%D8%A7%D9%84%D8%B9%D9%82%D9%8A%D8%B1%20%D8%A7%D9%84%D8%AA%D8%A7%D8%B1%D9%8A%D8%AE%D9%8A%20%D8%A7%D9%84%D8%B9%D9%82%D9%8A%D8%B1%20/%20%D8%A7%D9%84%D8%A3%D8%AD%D8%B3%D8%A7%D8%A1%20%D8%A7%D9%84%D8%B3%D8%B9%D9%88%D8%AF%D9%8A%D8%A9</x:v>
      </x:c>
      <x:c r="Q27" s="34" t="str">
        <x:v>Google Maps</x:v>
      </x:c>
      <x:c r="R27" s="34" t="str">
        <x:v>https://saudipedia.com/%D9%85%D8%AD%D8%A7%D9%81%D8%B8%D8%A9-%D8%A7%D9%84%D8%A3%D8%AD%D8%B3%D8%A7%D8%A1</x:v>
      </x:c>
      <x:c r="S27" s="34" t="str">
        <x:v>19-09-2026</x:v>
      </x:c>
    </x:row>
    <x:row r="28">
      <x:c r="A28" s="34" t="n">
        <x:v>24</x:v>
      </x:c>
      <x:c r="B28" s="34" t="str">
        <x:v>المنطقة الشرقية</x:v>
      </x:c>
      <x:c r="C28" s="34" t="str">
        <x:v>الأحساء</x:v>
      </x:c>
      <x:c r="D28" s="34" t="str">
        <x:v>واحة الأطراف والقرى الزراعية القديمة</x:v>
      </x:c>
      <x:c r="E28" s="34" t="str">
        <x:v>زراعة / تراث</x:v>
      </x:c>
      <x:c r="F28" s="34" t="str">
        <x:v>مشاهد نخيل وطرق زراعية وممرات وقرى أقل شهرة من قلب الهفوف؛ تركيزها على الحياة الزراعية المحلية.</x:v>
      </x:c>
      <x:c r="G28" s="36" t="n">
        <x:v>1</x:v>
      </x:c>
      <x:c r="H28" s="34" t="str">
        <x:v>منخفضة جدًا</x:v>
      </x:c>
      <x:c r="I28" s="36" t="n">
        <x:v>2</x:v>
      </x:c>
      <x:c r="J28" s="34" t="str">
        <x:v>سهلة</x:v>
      </x:c>
      <x:c r="K28" s="34" t="str">
        <x:v>2WD</x:v>
      </x:c>
      <x:c r="L28" s="34" t="str">
        <x:v>نوفمبر–مارس</x:v>
      </x:c>
      <x:c r="M28" s="34" t="str">
        <x:v>2–4 ساعات</x:v>
      </x:c>
      <x:c r="N28" s="34" t="str">
        <x:v>المناطق مأهولة؛ الأفضل استئذان أصحاب المزارع وعدم دخول ممتلكات خاصة.</x:v>
      </x:c>
      <x:c r="O28" s="36" t="str">
        <x:v>غير موثق في نتائج الخرائط التي تحققت منها</x:v>
      </x:c>
      <x:c r="P28" s="34" t="str">
        <x:v>https://www.google.com/maps/search/?api=1&amp;query=%D9%88%D8%A7%D8%AD%D8%A9%20%D8%A7%D9%84%D8%A3%D8%B7%D8%B1%D8%A7%D9%81%20%D9%88%D8%A7%D9%84%D9%82%D8%B1%D9%89%20%D8%A7%D9%84%D8%B2%D8%B1%D8%A7%D8%B9%D9%8A%D8%A9%20%D8%A7%D9%84%D9%82%D8%AF%D9%8A%D9%85%D8%A9%20%D8%A7%D9%84%D8%A3%D8%AD%D8%B3%D8%A7%D8%A1%20%D8%A7%D9%84%D8%B3%D8%B9%D9%88%D8%AF%D9%8A%D8%A9</x:v>
      </x:c>
      <x:c r="Q28" s="34" t="str">
        <x:v>بحث ويب/محتوى محلي</x:v>
      </x:c>
      <x:c r="R28" s="34" t="str">
        <x:v>https://saudipedia.com/%D9%85%D8%AD%D8%A7%D9%81%D8%B8%D8%A9-%D8%A7%D9%84%D8%A3%D8%AD%D8%B3%D8%A7%D8%A1</x:v>
      </x:c>
      <x:c r="S28" s="34" t="str">
        <x:v>19-09-2026</x:v>
      </x:c>
    </x:row>
    <x:row r="29">
      <x:c r="A29" s="34" t="n">
        <x:v>25</x:v>
      </x:c>
      <x:c r="B29" s="34" t="str">
        <x:v>المنطقة الشرقية</x:v>
      </x:c>
      <x:c r="C29" s="34" t="str">
        <x:v>الجبيل</x:v>
      </x:c>
      <x:c r="D29" s="34" t="str">
        <x:v>شاطئ النخيل</x:v>
      </x:c>
      <x:c r="E29" s="34" t="str">
        <x:v>شاطئ / طبيعة</x:v>
      </x:c>
      <x:c r="F29" s="34" t="str">
        <x:v>شاطئ أقل تداولًا من واجهات المدن، مناسب لجلسة بحرية وتصوير الغروب.</x:v>
      </x:c>
      <x:c r="G29" s="36" t="n">
        <x:v>2</x:v>
      </x:c>
      <x:c r="H29" s="34" t="str">
        <x:v>منخفضة</x:v>
      </x:c>
      <x:c r="I29" s="36" t="n">
        <x:v>2</x:v>
      </x:c>
      <x:c r="J29" s="34" t="str">
        <x:v>سهلة</x:v>
      </x:c>
      <x:c r="K29" s="34" t="str">
        <x:v>2WD</x:v>
      </x:c>
      <x:c r="L29" s="34" t="str">
        <x:v>نوفمبر–مارس</x:v>
      </x:c>
      <x:c r="M29" s="34" t="str">
        <x:v>2–4 ساعات</x:v>
      </x:c>
      <x:c r="N29" s="34" t="str">
        <x:v>الرياح والرطوبة قد تؤثر في تجربة الشاطئ؛ التحقق من حالة الطقس أفضل.</x:v>
      </x:c>
      <x:c r="O29" s="36" t="n">
        <x:v>371</x:v>
      </x:c>
      <x:c r="P29" s="34" t="str">
        <x:v>https://www.google.com/maps/search/?api=1&amp;query=%D8%B4%D8%A7%D8%B7%D8%A6%20%D8%A7%D9%84%D9%86%D8%AE%D9%8A%D9%84%20%D8%A7%D9%84%D8%AC%D8%A8%D9%8A%D9%84%20%D8%A7%D9%84%D8%B3%D8%B9%D9%88%D8%AF%D9%8A%D8%A9</x:v>
      </x:c>
      <x:c r="Q29" s="34" t="str">
        <x:v>Google Maps</x:v>
      </x:c>
      <x:c r="R29" s="34" t="str">
        <x:v>https://www.google.com/maps/search/?api=1&amp;query=%D8%B4%D8%A7%D8%B7%D8%A6+%D8%A7%D9%84%D9%86%D8%AE%D9%8A%D9%84+%D8%A7%D9%84%D8%AC%D8%A8%D9%8A%D9%84</x:v>
      </x:c>
      <x:c r="S29" s="34" t="str">
        <x:v>19-09-2026</x:v>
      </x:c>
    </x:row>
    <x:row r="30">
      <x:c r="A30" s="34" t="n">
        <x:v>26</x:v>
      </x:c>
      <x:c r="B30" s="34" t="str">
        <x:v>عسير</x:v>
      </x:c>
      <x:c r="C30" s="34" t="str">
        <x:v>أبها / السودة</x:v>
      </x:c>
      <x:c r="D30" s="34" t="str">
        <x:v>قرية العكاس التراثية</x:v>
      </x:c>
      <x:c r="E30" s="34" t="str">
        <x:v>قرية / تراث</x:v>
      </x:c>
      <x:c r="F30" s="34" t="str">
        <x:v>قرية أثرية عمرها أكثر من 300 سنة، حصون وبيوت متعددة الطوابق قرب وادي تهلل.</x:v>
      </x:c>
      <x:c r="G30" s="36" t="n">
        <x:v>2</x:v>
      </x:c>
      <x:c r="H30" s="34" t="str">
        <x:v>منخفضة إلى متوسطة</x:v>
      </x:c>
      <x:c r="I30" s="36" t="n">
        <x:v>2</x:v>
      </x:c>
      <x:c r="J30" s="34" t="str">
        <x:v>متوسطة</x:v>
      </x:c>
      <x:c r="K30" s="34" t="str">
        <x:v>2WD</x:v>
      </x:c>
      <x:c r="L30" s="34" t="str">
        <x:v>مايو–أكتوبر للطقس اللطيف؛ نوفمبر–مارس للهدوء</x:v>
      </x:c>
      <x:c r="M30" s="34" t="str">
        <x:v>2–4 ساعات</x:v>
      </x:c>
      <x:c r="N30" s="34" t="str">
        <x:v>الأمطار الصيفية قد تسبب ضبابًا أو تغيرات على الطرق الجبلية.</x:v>
      </x:c>
      <x:c r="O30" s="36" t="n">
        <x:v>447</x:v>
      </x:c>
      <x:c r="P30" s="34" t="str">
        <x:v>https://www.google.com/maps/search/?api=1&amp;query=%D9%82%D8%B1%D9%8A%D8%A9%20%D8%A7%D9%84%D8%B9%D9%83%D8%A7%D8%B3%20%D8%A7%D9%84%D8%AA%D8%B1%D8%A7%D8%AB%D9%8A%D8%A9%20%D8%A3%D8%A8%D9%87%D8%A7%20/%20%D8%A7%D9%84%D8%B3%D9%88%D8%AF%D8%A9%20%D8%A7%D9%84%D8%B3%D8%B9%D9%88%D8%AF%D9%8A%D8%A9</x:v>
      </x:c>
      <x:c r="Q30" s="34" t="str">
        <x:v>محتوى محلي/Google Maps</x:v>
      </x:c>
      <x:c r="R30" s="34" t="str">
        <x:v>https://saudipedia.com/%D9%82%D8%B1%D9%8A%D8%A9-%D8%A7%D9%84%D8%B9%D9%83%D8%A7%D8%B3</x:v>
      </x:c>
      <x:c r="S30" s="34" t="str">
        <x:v>19-09-2026</x:v>
      </x:c>
    </x:row>
    <x:row r="31">
      <x:c r="A31" s="34" t="n">
        <x:v>27</x:v>
      </x:c>
      <x:c r="B31" s="34" t="str">
        <x:v>عسير</x:v>
      </x:c>
      <x:c r="C31" s="34" t="str">
        <x:v>النماص / السرح</x:v>
      </x:c>
      <x:c r="D31" s="34" t="str">
        <x:v>قرية آل عليان التاريخية</x:v>
      </x:c>
      <x:c r="E31" s="34" t="str">
        <x:v>قرية / تراث</x:v>
      </x:c>
      <x:c r="F31" s="34" t="str">
        <x:v>قرية تاريخية فيها متحف ومقتنيات تراثية وعمارة حجرية من طراز عسير.</x:v>
      </x:c>
      <x:c r="G31" s="36" t="n">
        <x:v>1</x:v>
      </x:c>
      <x:c r="H31" s="34" t="str">
        <x:v>منخفضة جدًا</x:v>
      </x:c>
      <x:c r="I31" s="36" t="n">
        <x:v>3</x:v>
      </x:c>
      <x:c r="J31" s="34" t="str">
        <x:v>متوسطة</x:v>
      </x:c>
      <x:c r="K31" s="34" t="str">
        <x:v>2WD</x:v>
      </x:c>
      <x:c r="L31" s="34" t="str">
        <x:v>يونيو–سبتمبر للمرتفعات؛ أكتوبر–أبريل للجو المعتدل</x:v>
      </x:c>
      <x:c r="M31" s="34" t="str">
        <x:v>2–4 ساعات</x:v>
      </x:c>
      <x:c r="N31" s="34" t="str">
        <x:v>تحقق من ساعات المتحف/المواقع الخاصة قبل الزيارة.</x:v>
      </x:c>
      <x:c r="O31" s="36" t="str">
        <x:v>غير موثق في نتائج الخرائط التي تحققت منها</x:v>
      </x:c>
      <x:c r="P31" s="34" t="str">
        <x:v>https://www.google.com/maps/search/?api=1&amp;query=%D9%82%D8%B1%D9%8A%D8%A9%20%D8%A2%D9%84%20%D8%B9%D9%84%D9%8A%D8%A7%D9%86%20%D8%A7%D9%84%D8%AA%D8%A7%D8%B1%D9%8A%D8%AE%D9%8A%D8%A9%20%D8%A7%D9%84%D9%86%D9%85%D8%A7%D8%B5%20/%20%D8%A7%D9%84%D8%B3%D8%B1%D8%AD%20%D8%A7%D9%84%D8%B3%D8%B9%D9%88%D8%AF%D9%8A%D8%A9</x:v>
      </x:c>
      <x:c r="Q31" s="34" t="str">
        <x:v>بحث ويب/محتوى محلي</x:v>
      </x:c>
      <x:c r="R31" s="34" t="str">
        <x:v>https://saudipedia.com/%D9%82%D8%A7%D8%A6%D9%85%D8%A9-%D8%AE%D9%85%D8%B3-%D9%82%D8%B1%D9%89-%D9%88%D8%A8%D9%84%D8%AF%D8%A7%D8%AA-%D8%AA%D8%B1%D8%A7%D8%AB%D9%8A%D8%A9-%D9%81%D9%8A-%D9%85%D9%86%D8%B7%D9%82%D8%A9-%D8%B9%D8%B3%D9%8A%D8%B1</x:v>
      </x:c>
      <x:c r="S31" s="34" t="str">
        <x:v>19-09-2026</x:v>
      </x:c>
    </x:row>
    <x:row r="32">
      <x:c r="A32" s="34" t="n">
        <x:v>28</x:v>
      </x:c>
      <x:c r="B32" s="34" t="str">
        <x:v>عسير</x:v>
      </x:c>
      <x:c r="C32" s="34" t="str">
        <x:v>النماص / وادي زيد</x:v>
      </x:c>
      <x:c r="D32" s="34" t="str">
        <x:v>قرية المدانة</x:v>
      </x:c>
      <x:c r="E32" s="34" t="str">
        <x:v>قرية / ريف</x:v>
      </x:c>
      <x:c r="F32" s="34" t="str">
        <x:v>بيوت حجرية قديمة، مدرجات زراعية ومسارات تاريخية وإطلالات على تهامة؛ وجهة ريفية صاعدة.</x:v>
      </x:c>
      <x:c r="G32" s="36" t="n">
        <x:v>3</x:v>
      </x:c>
      <x:c r="H32" s="34" t="str">
        <x:v>متوسطة ومتنامية</x:v>
      </x:c>
      <x:c r="I32" s="36" t="n">
        <x:v>3</x:v>
      </x:c>
      <x:c r="J32" s="34" t="str">
        <x:v>متوسطة</x:v>
      </x:c>
      <x:c r="K32" s="34" t="str">
        <x:v>2WD</x:v>
      </x:c>
      <x:c r="L32" s="34" t="str">
        <x:v>يونيو–سبتمبر للمرتفعات؛ أكتوبر–أبريل</x:v>
      </x:c>
      <x:c r="M32" s="34" t="str">
        <x:v>2–4 ساعات</x:v>
      </x:c>
      <x:c r="N32" s="34" t="str">
        <x:v>في 2026 أصبحت معروفة أكثر محليًا؛ لذلك أدرجتها كوجهة أقل شهرة نسبيًا لا كوجهة سرية.</x:v>
      </x:c>
      <x:c r="O32" s="36" t="str">
        <x:v>غير موثق في نتائج الخرائط التي تحققت منها</x:v>
      </x:c>
      <x:c r="P32" s="34" t="str">
        <x:v>https://www.google.com/maps/search/?api=1&amp;query=%D9%82%D8%B1%D9%8A%D8%A9%20%D8%A7%D9%84%D9%85%D8%AF%D8%A7%D9%86%D8%A9%20%D8%A7%D9%84%D9%86%D9%85%D8%A7%D8%B5%20/%20%D9%88%D8%A7%D8%AF%D9%8A%20%D8%B2%D9%8A%D8%AF%20%D8%A7%D9%84%D8%B3%D8%B9%D9%88%D8%AF%D9%8A%D8%A9</x:v>
      </x:c>
      <x:c r="Q32" s="34" t="str">
        <x:v>بحث ويب/محتوى محلي</x:v>
      </x:c>
      <x:c r="R32" s="34" t="str">
        <x:v>https://spa.gov.sa/N2587671</x:v>
      </x:c>
      <x:c r="S32" s="34" t="str">
        <x:v>19-09-2026</x:v>
      </x:c>
    </x:row>
    <x:row r="33">
      <x:c r="A33" s="34" t="n">
        <x:v>29</x:v>
      </x:c>
      <x:c r="B33" s="34" t="str">
        <x:v>عسير</x:v>
      </x:c>
      <x:c r="C33" s="34" t="str">
        <x:v>ظهران الجنوب</x:v>
      </x:c>
      <x:c r="D33" s="34" t="str">
        <x:v>القرية التراثية في ظهران الجنوب</x:v>
      </x:c>
      <x:c r="E33" s="34" t="str">
        <x:v>تراث / سوق قديم</x:v>
      </x:c>
      <x:c r="F33" s="34" t="str">
        <x:v>سوق قديم وحي تاريخي وقرية الحوزة الأثرية بطابع عمراني جنوبي.</x:v>
      </x:c>
      <x:c r="G33" s="36" t="n">
        <x:v>2</x:v>
      </x:c>
      <x:c r="H33" s="34" t="str">
        <x:v>منخفضة</x:v>
      </x:c>
      <x:c r="I33" s="36" t="n">
        <x:v>3</x:v>
      </x:c>
      <x:c r="J33" s="34" t="str">
        <x:v>متوسطة</x:v>
      </x:c>
      <x:c r="K33" s="34" t="str">
        <x:v>2WD</x:v>
      </x:c>
      <x:c r="L33" s="34" t="str">
        <x:v>أكتوبر–أبريل</x:v>
      </x:c>
      <x:c r="M33" s="34" t="str">
        <x:v>2–4 ساعات</x:v>
      </x:c>
      <x:c r="N33" s="34" t="str">
        <x:v>أفضل ضمن مسار جنوب عسير بدل رحلة منفردة طويلة.</x:v>
      </x:c>
      <x:c r="O33" s="36" t="str">
        <x:v>غير موثق في نتائج الخرائط التي تحققت منها</x:v>
      </x:c>
      <x:c r="P33" s="34" t="str">
        <x:v>https://www.google.com/maps/search/?api=1&amp;query=%D8%A7%D9%84%D9%82%D8%B1%D9%8A%D8%A9%20%D8%A7%D9%84%D8%AA%D8%B1%D8%A7%D8%AB%D9%8A%D8%A9%20%D9%81%D9%8A%20%D8%B8%D9%87%D8%B1%D8%A7%D9%86%20%D8%A7%D9%84%D8%AC%D9%86%D9%88%D8%A8%20%D8%B8%D9%87%D8%B1%D8%A7%D9%86%20%D8%A7%D9%84%D8%AC%D9%86%D9%88%D8%A8%20%D8%A7%D9%84%D8%B3%D8%B9%D9%88%D8%AF%D9%8A%D8%A9</x:v>
      </x:c>
      <x:c r="Q33" s="34" t="str">
        <x:v>بحث ويب/محتوى محلي</x:v>
      </x:c>
      <x:c r="R33" s="34" t="str">
        <x:v>https://saudipedia.com/%D9%82%D8%A7%D8%A6%D9%85%D8%A9-%D8%AE%D9%85%D8%B3-%D9%82%D8%B1%D9%89-%D9%88%D8%A8%D9%84%D8%AF%D8%A7%D8%AA-%D8%AA%D8%B1%D8%A7%D8%AB%D9%8A%D8%A9-%D9%81%D9%8A-%D9%85%D9%86%D8%B7%D9%82%D8%A9-%D8%B9%D8%B3%D9%8A%D8%B1</x:v>
      </x:c>
      <x:c r="S33" s="34" t="str">
        <x:v>19-09-2026</x:v>
      </x:c>
    </x:row>
    <x:row r="34">
      <x:c r="A34" s="34" t="n">
        <x:v>30</x:v>
      </x:c>
      <x:c r="B34" s="34" t="str">
        <x:v>عسير</x:v>
      </x:c>
      <x:c r="C34" s="34" t="str">
        <x:v>تثليث / جنوب شرق عسير</x:v>
      </x:c>
      <x:c r="D34" s="34" t="str">
        <x:v>وادي ترج</x:v>
      </x:c>
      <x:c r="E34" s="34" t="str">
        <x:v>وادي / طبيعة</x:v>
      </x:c>
      <x:c r="F34" s="34" t="str">
        <x:v>وادٍ واسع يبرز فيه الغطاء النباتي والمياه والأشجار القديمة في بعض المواسم.</x:v>
      </x:c>
      <x:c r="G34" s="36" t="n">
        <x:v>1</x:v>
      </x:c>
      <x:c r="H34" s="34" t="str">
        <x:v>منخفضة جدًا</x:v>
      </x:c>
      <x:c r="I34" s="36" t="n">
        <x:v>4</x:v>
      </x:c>
      <x:c r="J34" s="34" t="str">
        <x:v>مرتفعة</x:v>
      </x:c>
      <x:c r="K34" s="34" t="str">
        <x:v>4x4 مفضل للمسارات الريفية</x:v>
      </x:c>
      <x:c r="L34" s="34" t="str">
        <x:v>نوفمبر–مارس؛ وبعد الأمطار بحذر</x:v>
      </x:c>
      <x:c r="M34" s="34" t="str">
        <x:v>نصف يوم–يوم</x:v>
      </x:c>
      <x:c r="N34" s="34" t="str">
        <x:v>موقع بري؛ التزم بمجرى واضح ومسارات آمنة وتجنب السيول.</x:v>
      </x:c>
      <x:c r="O34" s="36" t="n">
        <x:v>261</x:v>
      </x:c>
      <x:c r="P34" s="34" t="str">
        <x:v>https://www.google.com/maps/search/?api=1&amp;query=%D9%88%D8%A7%D8%AF%D9%8A%20%D8%AA%D8%B1%D8%AC%20%D8%AA%D8%AB%D9%84%D9%8A%D8%AB%20/%20%D8%AC%D9%86%D9%88%D8%A8%20%D8%B4%D8%B1%D9%82%20%D8%B9%D8%B3%D9%8A%D8%B1%20%D8%A7%D9%84%D8%B3%D8%B9%D9%88%D8%AF%D9%8A%D8%A9</x:v>
      </x:c>
      <x:c r="Q34" s="34" t="str">
        <x:v>محتوى رحلات برية محلية</x:v>
      </x:c>
      <x:c r="R34" s="34" t="str">
        <x:v>https://www.alriyadh.com/370710</x:v>
      </x:c>
      <x:c r="S34" s="34" t="str">
        <x:v>19-09-2026</x:v>
      </x:c>
    </x:row>
    <x:row r="35">
      <x:c r="A35" s="34" t="n">
        <x:v>31</x:v>
      </x:c>
      <x:c r="B35" s="34" t="str">
        <x:v>الباحة</x:v>
      </x:c>
      <x:c r="C35" s="34" t="str">
        <x:v>العقيق/تهامة الباحة</x:v>
      </x:c>
      <x:c r="D35" s="34" t="str">
        <x:v>وادي الأحسبة</x:v>
      </x:c>
      <x:c r="E35" s="34" t="str">
        <x:v>وادي / خضرة</x:v>
      </x:c>
      <x:c r="F35" s="34" t="str">
        <x:v>وادي غني بالنخيل والسدر والبساتين ومجاري المياه الموسمية، يتغير مظهره بعد الأمطار.</x:v>
      </x:c>
      <x:c r="G35" s="36" t="n">
        <x:v>2</x:v>
      </x:c>
      <x:c r="H35" s="34" t="str">
        <x:v>منخفضة</x:v>
      </x:c>
      <x:c r="I35" s="36" t="n">
        <x:v>3</x:v>
      </x:c>
      <x:c r="J35" s="34" t="str">
        <x:v>متوسطة</x:v>
      </x:c>
      <x:c r="K35" s="34" t="str">
        <x:v>2WD على الطرق؛ 4x4 للمقاطع الجانبية</x:v>
      </x:c>
      <x:c r="L35" s="34" t="str">
        <x:v>نوفمبر–مارس؛ وربيعًا بعد المطر</x:v>
      </x:c>
      <x:c r="M35" s="34" t="str">
        <x:v>نصف يوم</x:v>
      </x:c>
      <x:c r="N35" s="34" t="str">
        <x:v>السيول قد تقطع بعض المداخل؛ تجنب النزول للمجرى أثناء هطول المطر.</x:v>
      </x:c>
      <x:c r="O35" s="36" t="str">
        <x:v>غير موثق في نتائج الخرائط التي تحققت منها</x:v>
      </x:c>
      <x:c r="P35" s="34" t="str">
        <x:v>https://www.google.com/maps/search/?api=1&amp;query=%D9%88%D8%A7%D8%AF%D9%8A%20%D8%A7%D9%84%D8%A3%D8%AD%D8%B3%D8%A8%D8%A9%20%D8%A7%D9%84%D8%B9%D9%82%D9%8A%D9%82/%D8%AA%D9%87%D8%A7%D9%85%D8%A9%20%D8%A7%D9%84%D8%A8%D8%A7%D8%AD%D8%A9%20%D8%A7%D9%84%D8%B3%D8%B9%D9%88%D8%AF%D9%8A%D8%A9</x:v>
      </x:c>
      <x:c r="Q35" s="34" t="str">
        <x:v>محتوى واس</x:v>
      </x:c>
      <x:c r="R35" s="34" t="str">
        <x:v>https://www.visitsaudi.com/ar/al-baha</x:v>
      </x:c>
      <x:c r="S35" s="34" t="str">
        <x:v>19-09-2026</x:v>
      </x:c>
    </x:row>
    <x:row r="36">
      <x:c r="A36" s="34" t="n">
        <x:v>32</x:v>
      </x:c>
      <x:c r="B36" s="34" t="str">
        <x:v>الباحة</x:v>
      </x:c>
      <x:c r="C36" s="34" t="str">
        <x:v>المخواة / شدا</x:v>
      </x:c>
      <x:c r="D36" s="34" t="str">
        <x:v>جبل شدا الأعلى</x:v>
      </x:c>
      <x:c r="E36" s="34" t="str">
        <x:v>جبل / طبيعة</x:v>
      </x:c>
      <x:c r="F36" s="34" t="str">
        <x:v>كتلة جبلية مرتفعة بتضاريس حادة وغابات وقرى ومشاهد بعيدة عن التجربة الحضرية.</x:v>
      </x:c>
      <x:c r="G36" s="36" t="n">
        <x:v>2</x:v>
      </x:c>
      <x:c r="H36" s="34" t="str">
        <x:v>منخفضة</x:v>
      </x:c>
      <x:c r="I36" s="36" t="n">
        <x:v>4</x:v>
      </x:c>
      <x:c r="J36" s="34" t="str">
        <x:v>مرتفعة</x:v>
      </x:c>
      <x:c r="K36" s="34" t="str">
        <x:v>4x4 للمسارات البعيدة؛ بعض المناطق مشي</x:v>
      </x:c>
      <x:c r="L36" s="34" t="str">
        <x:v>يونيو–سبتمبر للجو الجبلي؛ أكتوبر–أبريل للطقس الأكثر استقرارًا</x:v>
      </x:c>
      <x:c r="M36" s="34" t="str">
        <x:v>نصف يوم–يوم</x:v>
      </x:c>
      <x:c r="N36" s="34" t="str">
        <x:v>الضباب والأمطار عاملان مهمان؛ الطرق الجبلية تحتاج قيادة حذرة.</x:v>
      </x:c>
      <x:c r="O36" s="36" t="n">
        <x:v>280</x:v>
      </x:c>
      <x:c r="P36" s="34" t="str">
        <x:v>https://www.google.com/maps/search/?api=1&amp;query=%D8%AC%D8%A8%D9%84%20%D8%B4%D8%AF%D8%A7%20%D8%A7%D9%84%D8%A3%D8%B9%D9%84%D9%89%20%D8%A7%D9%84%D9%85%D8%AE%D9%88%D8%A7%D8%A9%20/%20%D8%B4%D8%AF%D8%A7%20%D8%A7%D9%84%D8%B3%D8%B9%D9%88%D8%AF%D9%8A%D8%A9</x:v>
      </x:c>
      <x:c r="Q36" s="34" t="str">
        <x:v>Google Maps</x:v>
      </x:c>
      <x:c r="R36" s="34" t="str">
        <x:v>https://www.visitsaudi.com/ar/al-baha</x:v>
      </x:c>
      <x:c r="S36" s="34" t="str">
        <x:v>19-09-2026</x:v>
      </x:c>
    </x:row>
    <x:row r="37">
      <x:c r="A37" s="34" t="n">
        <x:v>33</x:v>
      </x:c>
      <x:c r="B37" s="34" t="str">
        <x:v>الباحة</x:v>
      </x:c>
      <x:c r="C37" s="34" t="str">
        <x:v>قلوة / الأطاولة</x:v>
      </x:c>
      <x:c r="D37" s="34" t="str">
        <x:v>القرية الأثرية بالأطاولة</x:v>
      </x:c>
      <x:c r="E37" s="34" t="str">
        <x:v>قرية / تراث</x:v>
      </x:c>
      <x:c r="F37" s="34" t="str">
        <x:v>قرية تاريخية بمبانٍ حجرية وأسواق وبيوت مرتبطة بالمجتمع المحلي في زهران.</x:v>
      </x:c>
      <x:c r="G37" s="36" t="n">
        <x:v>2</x:v>
      </x:c>
      <x:c r="H37" s="34" t="str">
        <x:v>منخفضة</x:v>
      </x:c>
      <x:c r="I37" s="36" t="n">
        <x:v>2</x:v>
      </x:c>
      <x:c r="J37" s="34" t="str">
        <x:v>متوسطة</x:v>
      </x:c>
      <x:c r="K37" s="34" t="str">
        <x:v>2WD</x:v>
      </x:c>
      <x:c r="L37" s="34" t="str">
        <x:v>أكتوبر–أبريل</x:v>
      </x:c>
      <x:c r="M37" s="34" t="str">
        <x:v>2–3 ساعات</x:v>
      </x:c>
      <x:c r="N37" s="34" t="str">
        <x:v>موقع أسهل من الوجهات الجبلية البعيدة، ويمكن جمعه مع وديان المنطقة.</x:v>
      </x:c>
      <x:c r="O37" s="36" t="n">
        <x:v>560</x:v>
      </x:c>
      <x:c r="P37" s="34" t="str">
        <x:v>https://www.google.com/maps/search/?api=1&amp;query=%D8%A7%D9%84%D9%82%D8%B1%D9%8A%D8%A9%20%D8%A7%D9%84%D8%A3%D8%AB%D8%B1%D9%8A%D8%A9%20%D8%A8%D8%A7%D9%84%D8%A3%D8%B7%D8%A7%D9%88%D9%84%D8%A9%20%D9%82%D9%84%D9%88%D8%A9%20/%20%D8%A7%D9%84%D8%A3%D8%B7%D8%A7%D9%88%D9%84%D8%A9%20%D8%A7%D9%84%D8%B3%D8%B9%D9%88%D8%AF%D9%8A%D8%A9</x:v>
      </x:c>
      <x:c r="Q37" s="34" t="str">
        <x:v>Google Maps</x:v>
      </x:c>
      <x:c r="R37" s="34" t="str">
        <x:v>https://www.google.com/maps/search/?api=1&amp;query=%D8%A7%D9%84%D9%82%D8%B1%D9%8A%D8%A9+%D8%A7%D9%84%D8%A3%D8%AB%D8%B1%D9%8A%D8%A9+%D8%A8%D8%A7%D9%84%D8%A3%D8%B7%D8%A7%D9%88%D9%84%D8%A9</x:v>
      </x:c>
      <x:c r="S37" s="34" t="str">
        <x:v>19-09-2026</x:v>
      </x:c>
    </x:row>
    <x:row r="38">
      <x:c r="A38" s="34" t="n">
        <x:v>34</x:v>
      </x:c>
      <x:c r="B38" s="34" t="str">
        <x:v>الباحة</x:v>
      </x:c>
      <x:c r="C38" s="34" t="str">
        <x:v>المندق / زهران</x:v>
      </x:c>
      <x:c r="D38" s="34" t="str">
        <x:v>وادي تربة زهران</x:v>
      </x:c>
      <x:c r="E38" s="34" t="str">
        <x:v>وادي / منتزه</x:v>
      </x:c>
      <x:c r="F38" s="34" t="str">
        <x:v>وادي طبيعي بين تضاريس زهران؛ مناسب للجلسات واستكشاف الريف.</x:v>
      </x:c>
      <x:c r="G38" s="36" t="n">
        <x:v>2</x:v>
      </x:c>
      <x:c r="H38" s="34" t="str">
        <x:v>منخفضة</x:v>
      </x:c>
      <x:c r="I38" s="36" t="n">
        <x:v>3</x:v>
      </x:c>
      <x:c r="J38" s="34" t="str">
        <x:v>متوسطة</x:v>
      </x:c>
      <x:c r="K38" s="34" t="str">
        <x:v>2WD + 4x4 للمقاطع الجانبية</x:v>
      </x:c>
      <x:c r="L38" s="34" t="str">
        <x:v>نوفمبر–مارس</x:v>
      </x:c>
      <x:c r="M38" s="34" t="str">
        <x:v>3–5 ساعات</x:v>
      </x:c>
      <x:c r="N38" s="34" t="str">
        <x:v>بعد الأمطار يصبح المشهد أفضل لكن ترتفع مخاطر السيول.</x:v>
      </x:c>
      <x:c r="O38" s="36" t="n">
        <x:v>79</x:v>
      </x:c>
      <x:c r="P38" s="34" t="str">
        <x:v>https://www.google.com/maps/search/?api=1&amp;query=%D9%88%D8%A7%D8%AF%D9%8A%20%D8%AA%D8%B1%D8%A8%D8%A9%20%D8%B2%D9%87%D8%B1%D8%A7%D9%86%20%D8%A7%D9%84%D9%85%D9%86%D8%AF%D9%82%20/%20%D8%B2%D9%87%D8%B1%D8%A7%D9%86%20%D8%A7%D9%84%D8%B3%D8%B9%D9%88%D8%AF%D9%8A%D8%A9</x:v>
      </x:c>
      <x:c r="Q38" s="34" t="str">
        <x:v>Google Maps</x:v>
      </x:c>
      <x:c r="R38" s="34" t="str">
        <x:v>https://www.google.com/maps/search/?api=1&amp;query=%D9%88%D8%A7%D8%AF%D9%8A+%D8%AA%D8%B1%D8%A8%D8%A9+%D8%B2%D9%87%D8%B1%D8%A7%D9%86</x:v>
      </x:c>
      <x:c r="S38" s="34" t="str">
        <x:v>19-09-2026</x:v>
      </x:c>
    </x:row>
    <x:row r="39">
      <x:c r="A39" s="34" t="n">
        <x:v>35</x:v>
      </x:c>
      <x:c r="B39" s="34" t="str">
        <x:v>الباحة</x:v>
      </x:c>
      <x:c r="C39" s="34" t="str">
        <x:v>وادي شرى</x:v>
      </x:c>
      <x:c r="D39" s="34" t="str">
        <x:v>جبل أثرب</x:v>
      </x:c>
      <x:c r="E39" s="34" t="str">
        <x:v>جبل / إطلالة</x:v>
      </x:c>
      <x:c r="F39" s="34" t="str">
        <x:v>قمة جبلية أقل تداولًا من الوجهات الأشهر، مناسبة للمشاهد الطبيعية والتصوير.</x:v>
      </x:c>
      <x:c r="G39" s="36" t="n">
        <x:v>1</x:v>
      </x:c>
      <x:c r="H39" s="34" t="str">
        <x:v>منخفضة جدًا</x:v>
      </x:c>
      <x:c r="I39" s="36" t="n">
        <x:v>4</x:v>
      </x:c>
      <x:c r="J39" s="34" t="str">
        <x:v>مرتفعة</x:v>
      </x:c>
      <x:c r="K39" s="34" t="str">
        <x:v>4x4 + مشي</x:v>
      </x:c>
      <x:c r="L39" s="34" t="str">
        <x:v>يونيو–سبتمبر؛ أكتوبر–أبريل</x:v>
      </x:c>
      <x:c r="M39" s="34" t="str">
        <x:v>نصف يوم</x:v>
      </x:c>
      <x:c r="N39" s="34" t="str">
        <x:v>الصعود والطرق الجبلية تتطلب خبرة؛ لا تعتمد على اسم المكان فقط لأن مواقع الخرائط قد تكون متباينة.</x:v>
      </x:c>
      <x:c r="O39" s="36" t="n">
        <x:v>34</x:v>
      </x:c>
      <x:c r="P39" s="34" t="str">
        <x:v>https://www.google.com/maps/search/?api=1&amp;query=%D8%AC%D8%A8%D9%84%20%D8%A3%D8%AB%D8%B1%D8%A8%20%D9%88%D8%A7%D8%AF%D9%8A%20%D8%B4%D8%B1%D9%89%20%D8%A7%D9%84%D8%B3%D8%B9%D9%88%D8%AF%D9%8A%D8%A9</x:v>
      </x:c>
      <x:c r="Q39" s="34" t="str">
        <x:v>Google Maps</x:v>
      </x:c>
      <x:c r="R39" s="34" t="str">
        <x:v>https://www.google.com/maps/search/?api=1&amp;query=%D8%AC%D8%A8%D9%84+%D8%A3%D8%AB%D8%B1%D8%A8+%D8%A7%D9%84%D8%A8%D8%A7%D8%AD%D8%A9</x:v>
      </x:c>
      <x:c r="S39" s="34" t="str">
        <x:v>19-09-2026</x:v>
      </x:c>
    </x:row>
    <x:row r="40">
      <x:c r="A40" s="34" t="n">
        <x:v>36</x:v>
      </x:c>
      <x:c r="B40" s="34" t="str">
        <x:v>تبوك</x:v>
      </x:c>
      <x:c r="C40" s="34" t="str">
        <x:v>الديسة / ضباء</x:v>
      </x:c>
      <x:c r="D40" s="34" t="str">
        <x:v>وادي داما (قراقر)</x:v>
      </x:c>
      <x:c r="E40" s="34" t="str">
        <x:v>وادي / ماء وخضرة</x:v>
      </x:c>
      <x:c r="F40" s="34" t="str">
        <x:v>مياه وعيون وأشجار نخيل وبردي وجداول؛ أقل تداولًا من اسم الديسة العام إذا ركزت على المقاطع الجانبية.</x:v>
      </x:c>
      <x:c r="G40" s="36" t="n">
        <x:v>2</x:v>
      </x:c>
      <x:c r="H40" s="34" t="str">
        <x:v>منخفضة إلى متوسطة</x:v>
      </x:c>
      <x:c r="I40" s="36" t="n">
        <x:v>4</x:v>
      </x:c>
      <x:c r="J40" s="34" t="str">
        <x:v>مرتفعة</x:v>
      </x:c>
      <x:c r="K40" s="34" t="str">
        <x:v>4x4 مفيد للمقاطع البعيدة</x:v>
      </x:c>
      <x:c r="L40" s="34" t="str">
        <x:v>نوفمبر–مارس</x:v>
      </x:c>
      <x:c r="M40" s="34" t="str">
        <x:v>نصف يوم–يوم</x:v>
      </x:c>
      <x:c r="N40" s="34" t="str">
        <x:v>وضع الطرق يختلف داخل الوادي؛ لا تدخل الأجزاء المعزولة منفردًا.</x:v>
      </x:c>
      <x:c r="O40" s="36" t="n">
        <x:v>379</x:v>
      </x:c>
      <x:c r="P40" s="34" t="str">
        <x:v>https://www.google.com/maps/search/?api=1&amp;query=%D9%88%D8%A7%D8%AF%D9%8A%20%D8%AF%D8%A7%D9%85%D8%A7%20%28%D9%82%D8%B1%D8%A7%D9%82%D8%B1%29%20%D8%A7%D9%84%D8%AF%D9%8A%D8%B3%D8%A9%20/%20%D8%B6%D8%A8%D8%A7%D8%A1%20%D8%A7%D9%84%D8%B3%D8%B9%D9%88%D8%AF%D9%8A%D8%A9</x:v>
      </x:c>
      <x:c r="Q40" s="34" t="str">
        <x:v>تغطية إعلامية ومحتوى رحلات</x:v>
      </x:c>
      <x:c r="R40" s="34" t="str">
        <x:v>https://www.alriyadh.com/1737052</x:v>
      </x:c>
      <x:c r="S40" s="34" t="str">
        <x:v>19-09-2026</x:v>
      </x:c>
    </x:row>
    <x:row r="41">
      <x:c r="A41" s="34" t="n">
        <x:v>37</x:v>
      </x:c>
      <x:c r="B41" s="34" t="str">
        <x:v>تبوك</x:v>
      </x:c>
      <x:c r="C41" s="34" t="str">
        <x:v>شمال غرب تبوك / الزيتة</x:v>
      </x:c>
      <x:c r="D41" s="34" t="str">
        <x:v>جبال الزيتة</x:v>
      </x:c>
      <x:c r="E41" s="34" t="str">
        <x:v>جبال / صخور</x:v>
      </x:c>
      <x:c r="F41" s="34" t="str">
        <x:v>تشكيلات صخرية وصحارى ذات طابع مختلف، مناسبة للتصوير والاستكشاف.</x:v>
      </x:c>
      <x:c r="G41" s="36" t="n">
        <x:v>1</x:v>
      </x:c>
      <x:c r="H41" s="34" t="str">
        <x:v>منخفضة جدًا</x:v>
      </x:c>
      <x:c r="I41" s="36" t="n">
        <x:v>5</x:v>
      </x:c>
      <x:c r="J41" s="34" t="str">
        <x:v>عالية جدًا</x:v>
      </x:c>
      <x:c r="K41" s="34" t="str">
        <x:v>4x4</x:v>
      </x:c>
      <x:c r="L41" s="34" t="str">
        <x:v>أكتوبر–مارس</x:v>
      </x:c>
      <x:c r="M41" s="34" t="str">
        <x:v>نصف يوم–يوم</x:v>
      </x:c>
      <x:c r="N41" s="34" t="str">
        <x:v>البرية واسعة؛ احمل وقودًا وماءً إضافيين وخرائط دون اتصال.</x:v>
      </x:c>
      <x:c r="O41" s="36" t="str">
        <x:v>غير موثق في نتائج الخرائط التي تحققت منها</x:v>
      </x:c>
      <x:c r="P41" s="34" t="str">
        <x:v>https://www.google.com/maps/search/?api=1&amp;query=%D8%AC%D8%A8%D8%A7%D9%84%20%D8%A7%D9%84%D8%B2%D9%8A%D8%AA%D8%A9%20%D8%B4%D9%85%D8%A7%D9%84%20%D8%BA%D8%B1%D8%A8%20%D8%AA%D8%A8%D9%88%D9%83%20/%20%D8%A7%D9%84%D8%B2%D9%8A%D8%AA%D8%A9%20%D8%A7%D9%84%D8%B3%D8%B9%D9%88%D8%AF%D9%8A%D8%A9</x:v>
      </x:c>
      <x:c r="Q41" s="34" t="str">
        <x:v>بحث ويب/محتوى محلي</x:v>
      </x:c>
      <x:c r="R41" s="34" t="str">
        <x:v>https://www.information-net.com/2026/09/hidden-places-saudi-arabia.html</x:v>
      </x:c>
      <x:c r="S41" s="34" t="str">
        <x:v>19-09-2026</x:v>
      </x:c>
    </x:row>
    <x:row r="42">
      <x:c r="A42" s="34" t="n">
        <x:v>38</x:v>
      </x:c>
      <x:c r="B42" s="34" t="str">
        <x:v>تبوك</x:v>
      </x:c>
      <x:c r="C42" s="34" t="str">
        <x:v>ضباء / ساحل البحر الأحمر</x:v>
      </x:c>
      <x:c r="D42" s="34" t="str">
        <x:v>وادي طيب اسم</x:v>
      </x:c>
      <x:c r="E42" s="34" t="str">
        <x:v>وادي / جبال وساحل</x:v>
      </x:c>
      <x:c r="F42" s="34" t="str">
        <x:v>وادي بين جبال شديدة الانحدار وقريب من الساحل، بمشهد جيولوجي مميز.</x:v>
      </x:c>
      <x:c r="G42" s="36" t="n">
        <x:v>3</x:v>
      </x:c>
      <x:c r="H42" s="34" t="str">
        <x:v>متوسطة ومتنامية</x:v>
      </x:c>
      <x:c r="I42" s="36" t="n">
        <x:v>4</x:v>
      </x:c>
      <x:c r="J42" s="34" t="str">
        <x:v>مرتفعة</x:v>
      </x:c>
      <x:c r="K42" s="34" t="str">
        <x:v>4x4 مفضل؛ بعض المقاطع مشي</x:v>
      </x:c>
      <x:c r="L42" s="34" t="str">
        <x:v>نوفمبر–مارس</x:v>
      </x:c>
      <x:c r="M42" s="34" t="str">
        <x:v>نصف يوم</x:v>
      </x:c>
      <x:c r="N42" s="34" t="str">
        <x:v>أصبح أكثر حضورًا من السابق؛ افحص الأنظمة المحلية وإمكانية الوصول قبل الرحلة.</x:v>
      </x:c>
      <x:c r="O42" s="36" t="str">
        <x:v>غير موثق في نتائج الخرائط التي تحققت منها</x:v>
      </x:c>
      <x:c r="P42" s="34" t="str">
        <x:v>https://www.google.com/maps/search/?api=1&amp;query=%D9%88%D8%A7%D8%AF%D9%8A%20%D8%B7%D9%8A%D8%A8%20%D8%A7%D8%B3%D9%85%20%D8%B6%D8%A8%D8%A7%D8%A1%20/%20%D8%B3%D8%A7%D8%AD%D9%84%20%D8%A7%D9%84%D8%A8%D8%AD%D8%B1%20%D8%A7%D9%84%D8%A3%D8%AD%D9%85%D8%B1%20%D8%A7%D9%84%D8%B3%D8%B9%D9%88%D8%AF%D9%8A%D8%A9</x:v>
      </x:c>
      <x:c r="Q42" s="34" t="str">
        <x:v>بحث ويب/محتوى محلي</x:v>
      </x:c>
      <x:c r="R42" s="34" t="str">
        <x:v>https://www.information-net.com/2026/09/hidden-places-saudi-arabia.html</x:v>
      </x:c>
      <x:c r="S42" s="34" t="str">
        <x:v>19-09-2026</x:v>
      </x:c>
    </x:row>
    <x:row r="43">
      <x:c r="A43" s="34" t="n">
        <x:v>39</x:v>
      </x:c>
      <x:c r="B43" s="34" t="str">
        <x:v>تبوك</x:v>
      </x:c>
      <x:c r="C43" s="34" t="str">
        <x:v>ضباء</x:v>
      </x:c>
      <x:c r="D43" s="34" t="str">
        <x:v>وادي كفافة</x:v>
      </x:c>
      <x:c r="E43" s="34" t="str">
        <x:v>وادي / طبيعة</x:v>
      </x:c>
      <x:c r="F43" s="34" t="str">
        <x:v>موقع وادٍ قليل المراجعات الرقمية مقارنة بالمواقع الأشهر في تبوك.</x:v>
      </x:c>
      <x:c r="G43" s="36" t="n">
        <x:v>1</x:v>
      </x:c>
      <x:c r="H43" s="34" t="str">
        <x:v>منخفضة جدًا</x:v>
      </x:c>
      <x:c r="I43" s="36" t="n">
        <x:v>4</x:v>
      </x:c>
      <x:c r="J43" s="34" t="str">
        <x:v>مرتفعة</x:v>
      </x:c>
      <x:c r="K43" s="34" t="str">
        <x:v>4x4 مفضل</x:v>
      </x:c>
      <x:c r="L43" s="34" t="str">
        <x:v>نوفمبر–مارس</x:v>
      </x:c>
      <x:c r="M43" s="34" t="str">
        <x:v>3–6 ساعات</x:v>
      </x:c>
      <x:c r="N43" s="34" t="str">
        <x:v>البيانات السياحية المنشورة عنه محدودة؛ تعامل معه كاستكشاف بري وليس موقعًا مطورًا.</x:v>
      </x:c>
      <x:c r="O43" s="36" t="n">
        <x:v>3</x:v>
      </x:c>
      <x:c r="P43" s="34" t="str">
        <x:v>https://www.google.com/maps/search/?api=1&amp;query=%D9%88%D8%A7%D8%AF%D9%8A%20%D9%83%D9%81%D8%A7%D9%81%D8%A9%20%D8%B6%D8%A8%D8%A7%D8%A1%20%D8%A7%D9%84%D8%B3%D8%B9%D9%88%D8%AF%D9%8A%D8%A9</x:v>
      </x:c>
      <x:c r="Q43" s="34" t="str">
        <x:v>Google Maps</x:v>
      </x:c>
      <x:c r="R43" s="34" t="str">
        <x:v>https://www.google.com/maps/search/?api=1&amp;query=%D9%88%D8%A7%D8%AF%D9%8A+%D9%83%D9%81%D8%A7%D9%81%D8%A9+%D8%B6%D8%A8%D8%A7%D8%A1</x:v>
      </x:c>
      <x:c r="S43" s="34" t="str">
        <x:v>19-09-2026</x:v>
      </x:c>
    </x:row>
    <x:row r="44">
      <x:c r="A44" s="34" t="n">
        <x:v>40</x:v>
      </x:c>
      <x:c r="B44" s="34" t="str">
        <x:v>تبوك</x:v>
      </x:c>
      <x:c r="C44" s="34" t="str">
        <x:v>ضباء</x:v>
      </x:c>
      <x:c r="D44" s="34" t="str">
        <x:v>وادي ضحكان</x:v>
      </x:c>
      <x:c r="E44" s="34" t="str">
        <x:v>وادي / طبيعة</x:v>
      </x:c>
      <x:c r="F44" s="34" t="str">
        <x:v>وادٍ قليل الحضور الرقمي قرب ضباء، مناسب لمن يبحث عن مسارات برية غير مزدحمة.</x:v>
      </x:c>
      <x:c r="G44" s="36" t="n">
        <x:v>1</x:v>
      </x:c>
      <x:c r="H44" s="34" t="str">
        <x:v>منخفضة جدًا</x:v>
      </x:c>
      <x:c r="I44" s="36" t="n">
        <x:v>4</x:v>
      </x:c>
      <x:c r="J44" s="34" t="str">
        <x:v>مرتفعة</x:v>
      </x:c>
      <x:c r="K44" s="34" t="str">
        <x:v>4x4 مفضل</x:v>
      </x:c>
      <x:c r="L44" s="34" t="str">
        <x:v>نوفمبر–مارس</x:v>
      </x:c>
      <x:c r="M44" s="34" t="str">
        <x:v>3–6 ساعات</x:v>
      </x:c>
      <x:c r="N44" s="34" t="str">
        <x:v>المعلومات السياحية المنشورة محدودة؛ تأكد من الوصول والمسارات من مصادر محلية قبل المغادرة.</x:v>
      </x:c>
      <x:c r="O44" s="36" t="n">
        <x:v>3</x:v>
      </x:c>
      <x:c r="P44" s="34" t="str">
        <x:v>https://www.google.com/maps/search/?api=1&amp;query=%D9%88%D8%A7%D8%AF%D9%8A%20%D8%B6%D8%AD%D9%83%D8%A7%D9%86%20%D8%B6%D8%A8%D8%A7%D8%A1%20%D8%A7%D9%84%D8%B3%D8%B9%D9%88%D8%AF%D9%8A%D8%A9</x:v>
      </x:c>
      <x:c r="Q44" s="34" t="str">
        <x:v>Google Maps</x:v>
      </x:c>
      <x:c r="R44" s="34" t="str">
        <x:v>https://www.google.com/maps/search/?api=1&amp;query=%D9%88%D8%A7%D8%AF%D9%8A+%D8%B6%D8%AD%D9%83%D8%A7%D9%86+%D8%B6%D8%A8%D8%A7%D8%A1</x:v>
      </x:c>
      <x:c r="S44" s="34" t="str">
        <x:v>19-09-2026</x:v>
      </x:c>
    </x:row>
    <x:row r="45">
      <x:c r="A45" s="34" t="n">
        <x:v>41</x:v>
      </x:c>
      <x:c r="B45" s="34" t="str">
        <x:v>تبوك</x:v>
      </x:c>
      <x:c r="C45" s="34" t="str">
        <x:v>موقع صحراوي قرب تبوك</x:v>
      </x:c>
      <x:c r="D45" s="34" t="str">
        <x:v>المغارة المظلمة</x:v>
      </x:c>
      <x:c r="E45" s="34" t="str">
        <x:v>كهف / تصوير</x:v>
      </x:c>
      <x:c r="F45" s="34" t="str">
        <x:v>مغارة وشقوق صخرية من الحجر الرملي الأحمر تمنح تجربة تصوير ومغامرة مختلفة.</x:v>
      </x:c>
      <x:c r="G45" s="36" t="n">
        <x:v>2</x:v>
      </x:c>
      <x:c r="H45" s="34" t="str">
        <x:v>منخفضة</x:v>
      </x:c>
      <x:c r="I45" s="36" t="n">
        <x:v>4</x:v>
      </x:c>
      <x:c r="J45" s="34" t="str">
        <x:v>مرتفعة</x:v>
      </x:c>
      <x:c r="K45" s="34" t="str">
        <x:v>4x4 للوصول بحسب المسار؛ مشي واستكشاف</x:v>
      </x:c>
      <x:c r="L45" s="34" t="str">
        <x:v>أكتوبر–مارس</x:v>
      </x:c>
      <x:c r="M45" s="34" t="str">
        <x:v>3–5 ساعات</x:v>
      </x:c>
      <x:c r="N45" s="34" t="str">
        <x:v>الكهوف تحتاج مصباحًا وخبرة؛ تجنب الدخول المنفرد أو أثناء الأمطار.</x:v>
      </x:c>
      <x:c r="O45" s="36" t="n">
        <x:v>83</x:v>
      </x:c>
      <x:c r="P45" s="34" t="str">
        <x:v>https://www.google.com/maps/search/?api=1&amp;query=%D8%A7%D9%84%D9%85%D8%BA%D8%A7%D8%B1%D8%A9%20%D8%A7%D9%84%D9%85%D8%B8%D9%84%D9%85%D8%A9%20%D9%85%D9%88%D9%82%D8%B9%20%D8%B5%D8%AD%D8%B1%D8%A7%D9%88%D9%8A%20%D9%82%D8%B1%D8%A8%20%D8%AA%D8%A8%D9%88%D9%83%20%D8%A7%D9%84%D8%B3%D8%B9%D9%88%D8%AF%D9%8A%D8%A9</x:v>
      </x:c>
      <x:c r="Q45" s="34" t="str">
        <x:v>تغطية CNN ومحتوى تصوير</x:v>
      </x:c>
      <x:c r="R45" s="34" t="str">
        <x:v>https://arabic.cnn.com/travel/article/2023/02/22/saudi-dark-cave-travel-photography</x:v>
      </x:c>
      <x:c r="S45" s="34" t="str">
        <x:v>19-09-2026</x:v>
      </x:c>
    </x:row>
    <x:row r="46">
      <x:c r="A46" s="34" t="n">
        <x:v>42</x:v>
      </x:c>
      <x:c r="B46" s="34" t="str">
        <x:v>حائل</x:v>
      </x:c>
      <x:c r="C46" s="34" t="str">
        <x:v>الغزالة</x:v>
      </x:c>
      <x:c r="D46" s="34" t="str">
        <x:v>البلدة التراثية في الغزالة</x:v>
      </x:c>
      <x:c r="E46" s="34" t="str">
        <x:v>تراث / بلدة</x:v>
      </x:c>
      <x:c r="F46" s="34" t="str">
        <x:v>بلدة طينية قديمة بسور وقلاع ومسجد تاريخي، عمر بعض مبانيها أكثر من 300 سنة.</x:v>
      </x:c>
      <x:c r="G46" s="36" t="n">
        <x:v>1</x:v>
      </x:c>
      <x:c r="H46" s="34" t="str">
        <x:v>منخفضة جدًا</x:v>
      </x:c>
      <x:c r="I46" s="36" t="n">
        <x:v>3</x:v>
      </x:c>
      <x:c r="J46" s="34" t="str">
        <x:v>متوسطة</x:v>
      </x:c>
      <x:c r="K46" s="34" t="str">
        <x:v>2WD</x:v>
      </x:c>
      <x:c r="L46" s="34" t="str">
        <x:v>نوفمبر–فبراير</x:v>
      </x:c>
      <x:c r="M46" s="34" t="str">
        <x:v>2–3 ساعات</x:v>
      </x:c>
      <x:c r="N46" s="34" t="str">
        <x:v>أفضل ضمن جولة جنوب حائل التراثية.</x:v>
      </x:c>
      <x:c r="O46" s="36" t="str">
        <x:v>غير موثق في نتائج الخرائط التي تحققت منها</x:v>
      </x:c>
      <x:c r="P46" s="34" t="str">
        <x:v>https://www.google.com/maps/search/?api=1&amp;query=%D8%A7%D9%84%D8%A8%D9%84%D8%AF%D8%A9%20%D8%A7%D9%84%D8%AA%D8%B1%D8%A7%D8%AB%D9%8A%D8%A9%20%D9%81%D9%8A%20%D8%A7%D9%84%D8%BA%D8%B2%D8%A7%D9%84%D8%A9%20%D8%A7%D9%84%D8%BA%D8%B2%D8%A7%D9%84%D8%A9%20%D8%A7%D9%84%D8%B3%D8%B9%D9%88%D8%AF%D9%8A%D8%A9</x:v>
      </x:c>
      <x:c r="Q46" s="34" t="str">
        <x:v>بحث ويب/محتوى محلي</x:v>
      </x:c>
      <x:c r="R46" s="34" t="str">
        <x:v>https://saudipedia.com/%D9%82%D8%A7%D8%A6%D9%85%D8%A9-%D8%A7%D9%84%D9%82%D8%B1%D9%89-%D9%88%D8%A7%D9%84%D8%A8%D9%84%D8%AF%D8%A7%D8%AA-%D8%A7%D9%84%D8%AA%D8%B1%D8%A7%D8%AB%D9%8A%D8%A9-%D8%A7%D9%84%D8%A8%D8%A7%D8%B1%D8%B2%D8%A9-%D9%81%D9%8A-%D9%85%D9%86%D8%B7%D9%82%D8%A9-%D8%AD%D8%A7%D8%A6%D9%84</x:v>
      </x:c>
      <x:c r="S46" s="34" t="str">
        <x:v>19-09-2026</x:v>
      </x:c>
    </x:row>
    <x:row r="47">
      <x:c r="A47" s="34" t="n">
        <x:v>43</x:v>
      </x:c>
      <x:c r="B47" s="34" t="str">
        <x:v>حائل</x:v>
      </x:c>
      <x:c r="C47" s="34" t="str">
        <x:v>الحائط / جنوب حائل</x:v>
      </x:c>
      <x:c r="D47" s="34" t="str">
        <x:v>البلدة التراثية بالحائط (فدك)</x:v>
      </x:c>
      <x:c r="E47" s="34" t="str">
        <x:v>تراث / سوق قديم</x:v>
      </x:c>
      <x:c r="F47" s="34" t="str">
        <x:v>بلدة تاريخية وسوق قديم يعود إلى أواخر القرن الثاني عشر الهجري، ذات طابع تاريخي قوي.</x:v>
      </x:c>
      <x:c r="G47" s="36" t="n">
        <x:v>1</x:v>
      </x:c>
      <x:c r="H47" s="34" t="str">
        <x:v>منخفضة جدًا</x:v>
      </x:c>
      <x:c r="I47" s="36" t="n">
        <x:v>4</x:v>
      </x:c>
      <x:c r="J47" s="34" t="str">
        <x:v>مرتفعة نسبيًا</x:v>
      </x:c>
      <x:c r="K47" s="34" t="str">
        <x:v>2WD</x:v>
      </x:c>
      <x:c r="L47" s="34" t="str">
        <x:v>نوفمبر–فبراير</x:v>
      </x:c>
      <x:c r="M47" s="34" t="str">
        <x:v>3–5 ساعات</x:v>
      </x:c>
      <x:c r="N47" s="34" t="str">
        <x:v>الطريق طويل من حائل، لذا الأفضل إدراجها ضمن مسار يوم كامل.</x:v>
      </x:c>
      <x:c r="O47" s="36" t="str">
        <x:v>غير موثق في نتائج الخرائط التي تحققت منها</x:v>
      </x:c>
      <x:c r="P47" s="34" t="str">
        <x:v>https://www.google.com/maps/search/?api=1&amp;query=%D8%A7%D9%84%D8%A8%D9%84%D8%AF%D8%A9%20%D8%A7%D9%84%D8%AA%D8%B1%D8%A7%D8%AB%D9%8A%D8%A9%20%D8%A8%D8%A7%D9%84%D8%AD%D8%A7%D8%A6%D8%B7%20%28%D9%81%D8%AF%D9%83%29%20%D8%A7%D9%84%D8%AD%D8%A7%D8%A6%D8%B7%20/%20%D8%AC%D9%86%D9%88%D8%A8%20%D8%AD%D8%A7%D8%A6%D9%84%20%D8%A7%D9%84%D8%B3%D8%B9%D9%88%D8%AF%D9%8A%D8%A9</x:v>
      </x:c>
      <x:c r="Q47" s="34" t="str">
        <x:v>بحث ويب/محتوى محلي</x:v>
      </x:c>
      <x:c r="R47" s="34" t="str">
        <x:v>https://saudipedia.com/%D9%82%D8%A7%D8%A6%D9%85%D8%A9-%D8%A7%D9%84%D9%82%D8%B1%D9%89-%D9%88%D8%A7%D9%84%D8%A8%D9%84%D8%AF%D8%A7%D8%AA-%D8%A7%D9%84%D8%AA%D8%B1%D8%A7%D8%AB%D9%8A%D8%A9-%D8%A7%D9%84%D8%A8%D8%A7%D8%B1%D8%B2%D8%A9-%D9%81%D9%8A-%D9%85%D9%86%D8%B7%D9%82%D8%A9-%D8%AD%D8%A7%D8%A6%D9%84</x:v>
      </x:c>
      <x:c r="S47" s="34" t="str">
        <x:v>19-09-2026</x:v>
      </x:c>
    </x:row>
    <x:row r="48">
      <x:c r="A48" s="34" t="n">
        <x:v>44</x:v>
      </x:c>
      <x:c r="B48" s="34" t="str">
        <x:v>حائل</x:v>
      </x:c>
      <x:c r="C48" s="34" t="str">
        <x:v>جبال أجا / توران</x:v>
      </x:c>
      <x:c r="D48" s="34" t="str">
        <x:v>قرية توران وآثار قصر حاتم الطائي</x:v>
      </x:c>
      <x:c r="E48" s="34" t="str">
        <x:v>قرية / آثار</x:v>
      </x:c>
      <x:c r="F48" s="34" t="str">
        <x:v>قرية داخل عمق جبال أجا ترتبط بآثار قصر حاتم الطائي وتضاريس جبلية.</x:v>
      </x:c>
      <x:c r="G48" s="36" t="n">
        <x:v>1</x:v>
      </x:c>
      <x:c r="H48" s="34" t="str">
        <x:v>منخفضة جدًا</x:v>
      </x:c>
      <x:c r="I48" s="36" t="n">
        <x:v>4</x:v>
      </x:c>
      <x:c r="J48" s="34" t="str">
        <x:v>مرتفعة</x:v>
      </x:c>
      <x:c r="K48" s="34" t="str">
        <x:v>4x4 مفضل + مشي</x:v>
      </x:c>
      <x:c r="L48" s="34" t="str">
        <x:v>نوفمبر–مارس</x:v>
      </x:c>
      <x:c r="M48" s="34" t="str">
        <x:v>نصف يوم–يوم</x:v>
      </x:c>
      <x:c r="N48" s="34" t="str">
        <x:v>قد تتطلب المسارات المحلية معرفة جيدة بالتضاريس؛ لا تعتمد على طريق واحد في الخرائط.</x:v>
      </x:c>
      <x:c r="O48" s="36" t="str">
        <x:v>غير موثق في نتائج الخرائط التي تحققت منها</x:v>
      </x:c>
      <x:c r="P48" s="34" t="str">
        <x:v>https://www.google.com/maps/search/?api=1&amp;query=%D9%82%D8%B1%D9%8A%D8%A9%20%D8%AA%D9%88%D8%B1%D8%A7%D9%86%20%D9%88%D8%A2%D8%AB%D8%A7%D8%B1%20%D9%82%D8%B5%D8%B1%20%D8%AD%D8%A7%D8%AA%D9%85%20%D8%A7%D9%84%D8%B7%D8%A7%D8%A6%D9%8A%20%D8%AC%D8%A8%D8%A7%D9%84%20%D8%A3%D8%AC%D8%A7%20/%20%D8%AA%D9%88%D8%B1%D8%A7%D9%86%20%D8%A7%D9%84%D8%B3%D8%B9%D9%88%D8%AF%D9%8A%D8%A9</x:v>
      </x:c>
      <x:c r="Q48" s="34" t="str">
        <x:v>بحث ويب/محتوى محلي</x:v>
      </x:c>
      <x:c r="R48" s="34" t="str">
        <x:v>https://saudipedia.com/%D9%85%D8%AF%D9%8A%D9%86%D8%A9-%D8%AD%D8%A7%D8%A6%D9%84</x:v>
      </x:c>
      <x:c r="S48" s="34" t="str">
        <x:v>19-09-2026</x:v>
      </x:c>
    </x:row>
    <x:row r="49">
      <x:c r="A49" s="34" t="n">
        <x:v>45</x:v>
      </x:c>
      <x:c r="B49" s="34" t="str">
        <x:v>حائل</x:v>
      </x:c>
      <x:c r="C49" s="34" t="str">
        <x:v>جبال سلمى</x:v>
      </x:c>
      <x:c r="D49" s="34" t="str">
        <x:v>فوهة الدارة</x:v>
      </x:c>
      <x:c r="E49" s="34" t="str">
        <x:v>فوهة / جيولوجيا</x:v>
      </x:c>
      <x:c r="F49" s="34" t="str">
        <x:v>فوهة بركانية ضمن جبال سلمى تكسوها الخضرة بعد الأمطار، ومشهدها يتغير موسميًا.</x:v>
      </x:c>
      <x:c r="G49" s="36" t="n">
        <x:v>1</x:v>
      </x:c>
      <x:c r="H49" s="34" t="str">
        <x:v>منخفضة جدًا</x:v>
      </x:c>
      <x:c r="I49" s="36" t="n">
        <x:v>4</x:v>
      </x:c>
      <x:c r="J49" s="34" t="str">
        <x:v>مرتفعة</x:v>
      </x:c>
      <x:c r="K49" s="34" t="str">
        <x:v>4x4</x:v>
      </x:c>
      <x:c r="L49" s="34" t="str">
        <x:v>نوفمبر–مارس وبعد الأمطار</x:v>
      </x:c>
      <x:c r="M49" s="34" t="str">
        <x:v>3–6 ساعات</x:v>
      </x:c>
      <x:c r="N49" s="34" t="str">
        <x:v>تجنب الفوهات والهبوطات غير المؤمّنة بعد المطر أو الضباب.</x:v>
      </x:c>
      <x:c r="O49" s="36" t="str">
        <x:v>غير موثق في نتائج الخرائط التي تحققت منها</x:v>
      </x:c>
      <x:c r="P49" s="34" t="str">
        <x:v>https://www.google.com/maps/search/?api=1&amp;query=%D9%81%D9%88%D9%87%D8%A9%20%D8%A7%D9%84%D8%AF%D8%A7%D8%B1%D8%A9%20%D8%AC%D8%A8%D8%A7%D9%84%20%D8%B3%D9%84%D9%85%D9%89%20%D8%A7%D9%84%D8%B3%D8%B9%D9%88%D8%AF%D9%8A%D8%A9</x:v>
      </x:c>
      <x:c r="Q49" s="34" t="str">
        <x:v>بحث ويب/محتوى محلي</x:v>
      </x:c>
      <x:c r="R49" s="34" t="str">
        <x:v>https://saudipedia.com/%D9%85%D8%AF%D9%8A%D9%86%D8%A9-%D8%AD%D8%A7%D8%A6%D9%84</x:v>
      </x:c>
      <x:c r="S49" s="34" t="str">
        <x:v>19-09-2026</x:v>
      </x:c>
    </x:row>
    <x:row r="50">
      <x:c r="A50" s="34" t="n">
        <x:v>46</x:v>
      </x:c>
      <x:c r="B50" s="34" t="str">
        <x:v>حائل</x:v>
      </x:c>
      <x:c r="C50" s="34" t="str">
        <x:v>جبة</x:v>
      </x:c>
      <x:c r="D50" s="34" t="str">
        <x:v>جبل غوطة / مواقع الفنون الصخرية الأقل شهرة</x:v>
      </x:c>
      <x:c r="E50" s="34" t="str">
        <x:v>فن صخري / آثار</x:v>
      </x:c>
      <x:c r="F50" s="34" t="str">
        <x:v>مواقع رسوم ونقوش صخرية في نطاق جبة، خارج النقاط الأكثر زيارة في جبل أم سنمان.</x:v>
      </x:c>
      <x:c r="G50" s="36" t="n">
        <x:v>2</x:v>
      </x:c>
      <x:c r="H50" s="34" t="str">
        <x:v>منخفضة</x:v>
      </x:c>
      <x:c r="I50" s="36" t="n">
        <x:v>4</x:v>
      </x:c>
      <x:c r="J50" s="34" t="str">
        <x:v>مرتفعة</x:v>
      </x:c>
      <x:c r="K50" s="34" t="str">
        <x:v>4x4 + مشي</x:v>
      </x:c>
      <x:c r="L50" s="34" t="str">
        <x:v>نوفمبر–مارس</x:v>
      </x:c>
      <x:c r="M50" s="34" t="str">
        <x:v>نصف يوم</x:v>
      </x:c>
      <x:c r="N50" s="34" t="str">
        <x:v>احترام المواقع الأثرية مهم؛ لا تلمس النقوش أو تكتب عليها.</x:v>
      </x:c>
      <x:c r="O50" s="36" t="str">
        <x:v>غير موثق في نتائج الخرائط التي تحققت منها</x:v>
      </x:c>
      <x:c r="P50" s="34" t="str">
        <x:v>https://www.google.com/maps/search/?api=1&amp;query=%D8%AC%D8%A8%D9%84%20%D8%BA%D9%88%D8%B7%D8%A9%20/%20%D9%85%D9%88%D8%A7%D9%82%D8%B9%20%D8%A7%D9%84%D9%81%D9%86%D9%88%D9%86%20%D8%A7%D9%84%D8%B5%D8%AE%D8%B1%D9%8A%D8%A9%20%D8%A7%D9%84%D8%A3%D9%82%D9%84%20%D8%B4%D9%87%D8%B1%D8%A9%20%D8%AC%D8%A8%D8%A9%20%D8%A7%D9%84%D8%B3%D8%B9%D9%88%D8%AF%D9%8A%D8%A9</x:v>
      </x:c>
      <x:c r="Q50" s="34" t="str">
        <x:v>بحث ويب/محتوى محلي</x:v>
      </x:c>
      <x:c r="R50" s="34" t="str">
        <x:v>https://saudipedia.com/%D8%A7%D9%84%D9%81%D9%86%D9%88%D9%86-%D8%A7%D9%84%D8%B5%D8%AE%D8%B1%D9%8A%D8%A9-%D9%81%D9%8A-%D9%85%D9%86%D8%B7%D9%82%D8%A9-%D8%AD%D8%A7%D8%A6%D9%84</x:v>
      </x:c>
      <x:c r="S50" s="34" t="str">
        <x:v>19-09-2026</x:v>
      </x:c>
    </x:row>
    <x:row r="51">
      <x:c r="A51" s="34" t="n">
        <x:v>47</x:v>
      </x:c>
      <x:c r="B51" s="34" t="str">
        <x:v>جازان</x:v>
      </x:c>
      <x:c r="C51" s="34" t="str">
        <x:v>جزر فرسان</x:v>
      </x:c>
      <x:c r="D51" s="34" t="str">
        <x:v>قرية القصار التراثية</x:v>
      </x:c>
      <x:c r="E51" s="34" t="str">
        <x:v>قرية / تراث</x:v>
      </x:c>
      <x:c r="F51" s="34" t="str">
        <x:v>نحو 400 منزل حجري بين النخيل، ارتبطت بإقامة أهالي فرسان خلال موسم الصيف.</x:v>
      </x:c>
      <x:c r="G51" s="36" t="n">
        <x:v>2</x:v>
      </x:c>
      <x:c r="H51" s="34" t="str">
        <x:v>منخفضة إلى متوسطة</x:v>
      </x:c>
      <x:c r="I51" s="36" t="n">
        <x:v>4</x:v>
      </x:c>
      <x:c r="J51" s="34" t="str">
        <x:v>مرتفعة من خارج فرسان</x:v>
      </x:c>
      <x:c r="K51" s="34" t="str">
        <x:v>2WD داخل الجزيرة</x:v>
      </x:c>
      <x:c r="L51" s="34" t="str">
        <x:v>نوفمبر–أبريل</x:v>
      </x:c>
      <x:c r="M51" s="34" t="str">
        <x:v>2–4 ساعات</x:v>
      </x:c>
      <x:c r="N51" s="34" t="str">
        <x:v>تحتاج الوصول إلى فرسان أولًا؛ تحقق من العبّارة/وسيلة النقل قبل الرحلة.</x:v>
      </x:c>
      <x:c r="O51" s="36" t="n">
        <x:v>614</x:v>
      </x:c>
      <x:c r="P51" s="34" t="str">
        <x:v>https://www.google.com/maps/search/?api=1&amp;query=%D9%82%D8%B1%D9%8A%D8%A9%20%D8%A7%D9%84%D9%82%D8%B5%D8%A7%D8%B1%20%D8%A7%D9%84%D8%AA%D8%B1%D8%A7%D8%AB%D9%8A%D8%A9%20%D8%AC%D8%B2%D8%B1%20%D9%81%D8%B1%D8%B3%D8%A7%D9%86%20%D8%A7%D9%84%D8%B3%D8%B9%D9%88%D8%AF%D9%8A%D8%A9</x:v>
      </x:c>
      <x:c r="Q51" s="34" t="str">
        <x:v>Google Maps</x:v>
      </x:c>
      <x:c r="R51" s="34" t="str">
        <x:v>https://saudipedia.com/%D9%82%D8%B1%D9%8A%D8%A9-%D8%A7%D9%84%D9%82%D8%B5%D8%A7%D8%B1-%D8%A7%D9%84%D8%AA%D8%B1%D8%A7%D8%AB%D9%8A%D8%A9</x:v>
      </x:c>
      <x:c r="S51" s="34" t="str">
        <x:v>19-09-2026</x:v>
      </x:c>
    </x:row>
    <x:row r="52">
      <x:c r="A52" s="34" t="n">
        <x:v>48</x:v>
      </x:c>
      <x:c r="B52" s="34" t="str">
        <x:v>جازان</x:v>
      </x:c>
      <x:c r="C52" s="34" t="str">
        <x:v>فرسان</x:v>
      </x:c>
      <x:c r="D52" s="34" t="str">
        <x:v>مسجد النجدي</x:v>
      </x:c>
      <x:c r="E52" s="34" t="str">
        <x:v>تراث / عمارة</x:v>
      </x:c>
      <x:c r="F52" s="34" t="str">
        <x:v>مسجد تاريخي صغير ذو حضور رقمي محدود جدًا مقارنة بمعالم فرسان الأشهر.</x:v>
      </x:c>
      <x:c r="G52" s="36" t="n">
        <x:v>1</x:v>
      </x:c>
      <x:c r="H52" s="34" t="str">
        <x:v>منخفضة جدًا</x:v>
      </x:c>
      <x:c r="I52" s="36" t="n">
        <x:v>4</x:v>
      </x:c>
      <x:c r="J52" s="34" t="str">
        <x:v>مرتفعة</x:v>
      </x:c>
      <x:c r="K52" s="34" t="str">
        <x:v>2WD</x:v>
      </x:c>
      <x:c r="L52" s="34" t="str">
        <x:v>نوفمبر–أبريل</x:v>
      </x:c>
      <x:c r="M52" s="34" t="str">
        <x:v>30–90 دقيقة</x:v>
      </x:c>
      <x:c r="N52" s="34" t="str">
        <x:v>يجب احترام حرمة المسجد؛ الهدف زيارة الموقع الخارجي والتعرف على تاريخه.</x:v>
      </x:c>
      <x:c r="O52" s="36" t="n">
        <x:v>11</x:v>
      </x:c>
      <x:c r="P52" s="34" t="str">
        <x:v>https://www.google.com/maps/search/?api=1&amp;query=%D9%85%D8%B3%D8%AC%D8%AF%20%D8%A7%D9%84%D9%86%D8%AC%D8%AF%D9%8A%20%D9%81%D8%B1%D8%B3%D8%A7%D9%86%20%D8%A7%D9%84%D8%B3%D8%B9%D9%88%D8%AF%D9%8A%D8%A9</x:v>
      </x:c>
      <x:c r="Q52" s="34" t="str">
        <x:v>Google Maps</x:v>
      </x:c>
      <x:c r="R52" s="34" t="str">
        <x:v>https://saudipedia.com/%D9%82%D8%B1%D9%8A%D8%A9-%D8%A7%D9%84%D9%82%D8%B5%D8%A7%D8%B1-%D8%A7%D9%84%D8%AA%D8%B1%D8%A7%D8%AB%D9%8A%D8%A9</x:v>
      </x:c>
      <x:c r="S52" s="34" t="str">
        <x:v>19-09-2026</x:v>
      </x:c>
    </x:row>
    <x:row r="53">
      <x:c r="A53" s="34" t="n">
        <x:v>49</x:v>
      </x:c>
      <x:c r="B53" s="34" t="str">
        <x:v>جازان</x:v>
      </x:c>
      <x:c r="C53" s="34" t="str">
        <x:v>جبال الريث</x:v>
      </x:c>
      <x:c r="D53" s="34" t="str">
        <x:v>ممرات وأودية الريث الريفية</x:v>
      </x:c>
      <x:c r="E53" s="34" t="str">
        <x:v>جبال / أودية</x:v>
      </x:c>
      <x:c r="F53" s="34" t="str">
        <x:v>منطقة جبلية فيها أودية وشلالات وعيون ومدرجات زراعية وبن في أجزاء منها.</x:v>
      </x:c>
      <x:c r="G53" s="36" t="n">
        <x:v>2</x:v>
      </x:c>
      <x:c r="H53" s="34" t="str">
        <x:v>منخفضة</x:v>
      </x:c>
      <x:c r="I53" s="36" t="n">
        <x:v>4</x:v>
      </x:c>
      <x:c r="J53" s="34" t="str">
        <x:v>مرتفعة</x:v>
      </x:c>
      <x:c r="K53" s="34" t="str">
        <x:v>4x4 مفضل</x:v>
      </x:c>
      <x:c r="L53" s="34" t="str">
        <x:v>يونيو–سبتمبر للمرتفعات؛ نوفمبر–أبريل للسواحل</x:v>
      </x:c>
      <x:c r="M53" s="34" t="str">
        <x:v>نصف يوم–يوم</x:v>
      </x:c>
      <x:c r="N53" s="34" t="str">
        <x:v>المطر والسيول عنصران أساسيان؛ لا تدخل الوادي أثناء هطول شديد.</x:v>
      </x:c>
      <x:c r="O53" s="36" t="str">
        <x:v>غير موثق في نتائج الخرائط التي تحققت منها</x:v>
      </x:c>
      <x:c r="P53" s="34" t="str">
        <x:v>https://www.google.com/maps/search/?api=1&amp;query=%D9%85%D9%85%D8%B1%D8%A7%D8%AA%20%D9%88%D8%A3%D9%88%D8%AF%D9%8A%D8%A9%20%D8%A7%D9%84%D8%B1%D9%8A%D8%AB%20%D8%A7%D9%84%D8%B1%D9%8A%D9%81%D9%8A%D8%A9%20%D8%AC%D8%A8%D8%A7%D9%84%20%D8%A7%D9%84%D8%B1%D9%8A%D8%AB%20%D8%A7%D9%84%D8%B3%D8%B9%D9%88%D8%AF%D9%8A%D8%A9</x:v>
      </x:c>
      <x:c r="Q53" s="34" t="str">
        <x:v>بحث ويب/محتوى محلي</x:v>
      </x:c>
      <x:c r="R53" s="34" t="str">
        <x:v>https://saudipedia.com/%D8%A7%D9%84%D8%B3%D9%8A%D8%A7%D8%AD%D8%A9-%D9%81%D9%8A-%D9%85%D9%86%D8%B7%D9%82%D8%A9-%D8%AC%D8%A7%D8%B2%D8%A7%D9%86</x:v>
      </x:c>
      <x:c r="S53" s="34" t="str">
        <x:v>19-09-2026</x:v>
      </x:c>
    </x:row>
    <x:row r="54">
      <x:c r="A54" s="34" t="n">
        <x:v>50</x:v>
      </x:c>
      <x:c r="B54" s="34" t="str">
        <x:v>جازان</x:v>
      </x:c>
      <x:c r="C54" s="34" t="str">
        <x:v>بيش</x:v>
      </x:c>
      <x:c r="D54" s="34" t="str">
        <x:v>محيط سد وادي بيش</x:v>
      </x:c>
      <x:c r="E54" s="34" t="str">
        <x:v>سد / طبيعة</x:v>
      </x:c>
      <x:c r="F54" s="34" t="str">
        <x:v>منطقة مائية وسد مع مزارع ووديان قريبة؛ حضورها السياحي أقل من شواطئ جازان المعروفة.</x:v>
      </x:c>
      <x:c r="G54" s="36" t="n">
        <x:v>2</x:v>
      </x:c>
      <x:c r="H54" s="34" t="str">
        <x:v>منخفضة</x:v>
      </x:c>
      <x:c r="I54" s="36" t="n">
        <x:v>3</x:v>
      </x:c>
      <x:c r="J54" s="34" t="str">
        <x:v>متوسطة</x:v>
      </x:c>
      <x:c r="K54" s="34" t="str">
        <x:v>2WD</x:v>
      </x:c>
      <x:c r="L54" s="34" t="str">
        <x:v>نوفمبر–أبريل</x:v>
      </x:c>
      <x:c r="M54" s="34" t="str">
        <x:v>3–5 ساعات</x:v>
      </x:c>
      <x:c r="N54" s="34" t="str">
        <x:v>لا تقترب من مجرى التصريف أو المناطق المحظورة حول السد.</x:v>
      </x:c>
      <x:c r="O54" s="36" t="str">
        <x:v>غير موثق في نتائج الخرائط التي تحققت منها</x:v>
      </x:c>
      <x:c r="P54" s="34" t="str">
        <x:v>https://www.google.com/maps/search/?api=1&amp;query=%D9%85%D8%AD%D9%8A%D8%B7%20%D8%B3%D8%AF%20%D9%88%D8%A7%D8%AF%D9%8A%20%D8%A8%D9%8A%D8%B4%20%D8%A8%D9%8A%D8%B4%20%D8%A7%D9%84%D8%B3%D8%B9%D9%88%D8%AF%D9%8A%D8%A9</x:v>
      </x:c>
      <x:c r="Q54" s="34" t="str">
        <x:v>بحث ويب/محتوى محلي</x:v>
      </x:c>
      <x:c r="R54" s="34" t="str">
        <x:v>https://saudipedia.com/%D8%A7%D9%84%D8%B3%D9%8A%D8%A7%D8%AD%D8%A9-%D9%81%D9%8A-%D9%85%D9%86%D8%B7%D9%82%D8%A9-%D8%AC%D8%A7%D8%B2%D8%A7%D9%86</x:v>
      </x:c>
      <x:c r="S54" s="34" t="str">
        <x:v>19-09-2026</x:v>
      </x:c>
    </x:row>
    <x:row r="55">
      <x:c r="A55" s="34" t="n">
        <x:v>51</x:v>
      </x:c>
      <x:c r="B55" s="34" t="str">
        <x:v>جازان</x:v>
      </x:c>
      <x:c r="C55" s="34" t="str">
        <x:v>جزيرة فرسان</x:v>
      </x:c>
      <x:c r="D55" s="34" t="str">
        <x:v>أطراف غابات القندل والمانغروف</x:v>
      </x:c>
      <x:c r="E55" s="34" t="str">
        <x:v>ساحل / بيئة</x:v>
      </x:c>
      <x:c r="F55" s="34" t="str">
        <x:v>مناطق ساحلية ومانغروف وقندل أقل ازدحامًا من النقاط السياحية الرئيسية في فرسان.</x:v>
      </x:c>
      <x:c r="G55" s="36" t="n">
        <x:v>2</x:v>
      </x:c>
      <x:c r="H55" s="34" t="str">
        <x:v>منخفضة</x:v>
      </x:c>
      <x:c r="I55" s="36" t="n">
        <x:v>4</x:v>
      </x:c>
      <x:c r="J55" s="34" t="str">
        <x:v>مرتفعة</x:v>
      </x:c>
      <x:c r="K55" s="34" t="str">
        <x:v>4x4 مناسب للأطراف؛ أحيانًا قارب حسب الموقع</x:v>
      </x:c>
      <x:c r="L55" s="34" t="str">
        <x:v>نوفمبر–أبريل</x:v>
      </x:c>
      <x:c r="M55" s="34" t="str">
        <x:v>نصف يوم–يوم</x:v>
      </x:c>
      <x:c r="N55" s="34" t="str">
        <x:v>الوصول لبعض مناطق القرم قد يعتمد على البحر والمد؛ يلزم مرشد محلي في المواقع البعيدة.</x:v>
      </x:c>
      <x:c r="O55" s="36" t="str">
        <x:v>غير موثق في نتائج الخرائط التي تحققت منها</x:v>
      </x:c>
      <x:c r="P55" s="34" t="str">
        <x:v>https://www.google.com/maps/search/?api=1&amp;query=%D8%A3%D8%B7%D8%B1%D8%A7%D9%81%20%D8%BA%D8%A7%D8%A8%D8%A7%D8%AA%20%D8%A7%D9%84%D9%82%D9%86%D8%AF%D9%84%20%D9%88%D8%A7%D9%84%D9%85%D8%A7%D9%86%D8%BA%D8%B1%D9%88%D9%81%20%D8%AC%D8%B2%D9%8A%D8%B1%D8%A9%20%D9%81%D8%B1%D8%B3%D8%A7%D9%86%20%D8%A7%D9%84%D8%B3%D8%B9%D9%88%D8%AF%D9%8A%D8%A9</x:v>
      </x:c>
      <x:c r="Q55" s="34" t="str">
        <x:v>بحث ويب/محتوى محلي</x:v>
      </x:c>
      <x:c r="R55" s="34" t="str">
        <x:v>https://saudipedia.com/%D9%85%D9%86%D8%B7%D9%82%D8%A9-%D8%AC%D8%A7%D8%B2%D8%A7%D9%86</x:v>
      </x:c>
      <x:c r="S55" s="34" t="str">
        <x:v>19-09-2026</x:v>
      </x:c>
    </x:row>
    <x:row r="56">
      <x:c r="A56" s="34" t="n">
        <x:v>52</x:v>
      </x:c>
      <x:c r="B56" s="34" t="str">
        <x:v>نجران</x:v>
      </x:c>
      <x:c r="C56" s="34" t="str">
        <x:v>جنوب غرب نجران</x:v>
      </x:c>
      <x:c r="D56" s="34" t="str">
        <x:v>جبل الذراء</x:v>
      </x:c>
      <x:c r="E56" s="34" t="str">
        <x:v>نقوش / جبل</x:v>
      </x:c>
      <x:c r="F56" s="34" t="str">
        <x:v>موقع جبلي ضمن مواقع النقوش والكتابات القديمة في منطقة نجران.</x:v>
      </x:c>
      <x:c r="G56" s="36" t="n">
        <x:v>1</x:v>
      </x:c>
      <x:c r="H56" s="34" t="str">
        <x:v>منخفضة جدًا</x:v>
      </x:c>
      <x:c r="I56" s="36" t="n">
        <x:v>4</x:v>
      </x:c>
      <x:c r="J56" s="34" t="str">
        <x:v>مرتفعة</x:v>
      </x:c>
      <x:c r="K56" s="34" t="str">
        <x:v>4x4 + مشي</x:v>
      </x:c>
      <x:c r="L56" s="34" t="str">
        <x:v>نوفمبر–مارس</x:v>
      </x:c>
      <x:c r="M56" s="34" t="str">
        <x:v>3–6 ساعات</x:v>
      </x:c>
      <x:c r="N56" s="34" t="str">
        <x:v>المواقع الأثرية غير مجهزة عادة؛ لا تلمس الرسوم ولا تحاول إزالة الصخور.</x:v>
      </x:c>
      <x:c r="O56" s="36" t="str">
        <x:v>غير موثق في نتائج الخرائط التي تحققت منها</x:v>
      </x:c>
      <x:c r="P56" s="34" t="str">
        <x:v>https://www.google.com/maps/search/?api=1&amp;query=%D8%AC%D8%A8%D9%84%20%D8%A7%D9%84%D8%B0%D8%B1%D8%A7%D8%A1%20%D8%AC%D9%86%D9%88%D8%A8%20%D8%BA%D8%B1%D8%A8%20%D9%86%D8%AC%D8%B1%D8%A7%D9%86%20%D8%A7%D9%84%D8%B3%D8%B9%D9%88%D8%AF%D9%8A%D8%A9</x:v>
      </x:c>
      <x:c r="Q56" s="34" t="str">
        <x:v>بحث ويب/محتوى محلي</x:v>
      </x:c>
      <x:c r="R56" s="34" t="str">
        <x:v>https://saudipedia.com/%D8%A7%D9%84%D8%A2%D8%AB%D8%A7%D8%B1-%D9%81%D9%8A-%D8%A7%D9%84%D8%B3%D8%B9%D9%88%D8%AF%D9%8A%D8%A9</x:v>
      </x:c>
      <x:c r="S56" s="34" t="str">
        <x:v>19-09-2026</x:v>
      </x:c>
    </x:row>
    <x:row r="57">
      <x:c r="A57" s="34" t="n">
        <x:v>53</x:v>
      </x:c>
      <x:c r="B57" s="34" t="str">
        <x:v>نجران</x:v>
      </x:c>
      <x:c r="C57" s="34" t="str">
        <x:v>منطقة حمى</x:v>
      </x:c>
      <x:c r="D57" s="34" t="str">
        <x:v>قرن الزعفران</x:v>
      </x:c>
      <x:c r="E57" s="34" t="str">
        <x:v>نقوش / آثار</x:v>
      </x:c>
      <x:c r="F57" s="34" t="str">
        <x:v>أحد مواقع النقوش والكتابات الصخرية ضمن شبكة مواقع نجران الأثرية.</x:v>
      </x:c>
      <x:c r="G57" s="36" t="n">
        <x:v>1</x:v>
      </x:c>
      <x:c r="H57" s="34" t="str">
        <x:v>منخفضة جدًا</x:v>
      </x:c>
      <x:c r="I57" s="36" t="n">
        <x:v>5</x:v>
      </x:c>
      <x:c r="J57" s="34" t="str">
        <x:v>عالية جدًا</x:v>
      </x:c>
      <x:c r="K57" s="34" t="str">
        <x:v>4x4 + دليل محلي مفضل</x:v>
      </x:c>
      <x:c r="L57" s="34" t="str">
        <x:v>نوفمبر–مارس</x:v>
      </x:c>
      <x:c r="M57" s="34" t="str">
        <x:v>نصف يوم–يوم</x:v>
      </x:c>
      <x:c r="N57" s="34" t="str">
        <x:v>تأكد من حالة الدخول قبل السفر؛ بيانات الخرائط قد لا تعكس الحالة التنظيمية الحالية.</x:v>
      </x:c>
      <x:c r="O57" s="36" t="str">
        <x:v>غير موثق في نتائج الخرائط التي تحققت منها</x:v>
      </x:c>
      <x:c r="P57" s="34" t="str">
        <x:v>https://www.google.com/maps/search/?api=1&amp;query=%D9%82%D8%B1%D9%86%20%D8%A7%D9%84%D8%B2%D8%B9%D9%81%D8%B1%D8%A7%D9%86%20%D9%85%D9%86%D8%B7%D9%82%D8%A9%20%D8%AD%D9%85%D9%89%20%D8%A7%D9%84%D8%B3%D8%B9%D9%88%D8%AF%D9%8A%D8%A9</x:v>
      </x:c>
      <x:c r="Q57" s="34" t="str">
        <x:v>بحث ويب/محتوى محلي</x:v>
      </x:c>
      <x:c r="R57" s="34" t="str">
        <x:v>https://saudipedia.com/%D8%A7%D9%84%D8%A2%D8%AB%D8%A7%D8%B1-%D9%81%D9%8A-%D8%A7%D9%84%D8%B3%D8%B9%D9%88%D8%AF%D9%8A%D8%A9</x:v>
      </x:c>
      <x:c r="S57" s="34" t="str">
        <x:v>19-09-2026</x:v>
      </x:c>
    </x:row>
    <x:row r="58">
      <x:c r="A58" s="34" t="n">
        <x:v>54</x:v>
      </x:c>
      <x:c r="B58" s="34" t="str">
        <x:v>نجران</x:v>
      </x:c>
      <x:c r="C58" s="34" t="str">
        <x:v>منطقة حمى</x:v>
      </x:c>
      <x:c r="D58" s="34" t="str">
        <x:v>آثار الدريب</x:v>
      </x:c>
      <x:c r="E58" s="34" t="str">
        <x:v>آثار / نقوش</x:v>
      </x:c>
      <x:c r="F58" s="34" t="str">
        <x:v>موقع أثري أقل تداولًا رقميًا ضمن نطاق حمى ومواقع نجران.</x:v>
      </x:c>
      <x:c r="G58" s="36" t="n">
        <x:v>1</x:v>
      </x:c>
      <x:c r="H58" s="34" t="str">
        <x:v>منخفضة جدًا</x:v>
      </x:c>
      <x:c r="I58" s="36" t="n">
        <x:v>5</x:v>
      </x:c>
      <x:c r="J58" s="34" t="str">
        <x:v>عالية جدًا</x:v>
      </x:c>
      <x:c r="K58" s="34" t="str">
        <x:v>4x4 + دليل محلي</x:v>
      </x:c>
      <x:c r="L58" s="34" t="str">
        <x:v>نوفمبر–مارس</x:v>
      </x:c>
      <x:c r="M58" s="34" t="str">
        <x:v>نصف يوم</x:v>
      </x:c>
      <x:c r="N58" s="34" t="str">
        <x:v>الزيارة تتطلب التخطيط للوقود والماء والتأكد من الأنظمة/الوصول.</x:v>
      </x:c>
      <x:c r="O58" s="36" t="str">
        <x:v>غير موثق في نتائج الخرائط التي تحققت منها</x:v>
      </x:c>
      <x:c r="P58" s="34" t="str">
        <x:v>https://www.google.com/maps/search/?api=1&amp;query=%D8%A2%D8%AB%D8%A7%D8%B1%20%D8%A7%D9%84%D8%AF%D8%B1%D9%8A%D8%A8%20%D9%85%D9%86%D8%B7%D9%82%D8%A9%20%D8%AD%D9%85%D9%89%20%D8%A7%D9%84%D8%B3%D8%B9%D9%88%D8%AF%D9%8A%D8%A9</x:v>
      </x:c>
      <x:c r="Q58" s="34" t="str">
        <x:v>بحث ويب/محتوى محلي</x:v>
      </x:c>
      <x:c r="R58" s="34" t="str">
        <x:v>https://saudipedia.com/%D8%A7%D9%84%D8%A2%D8%AB%D8%A7%D8%B1-%D9%81%D9%8A-%D8%A7%D9%84%D8%B3%D8%B9%D9%88%D8%AF%D9%A9</x:v>
      </x:c>
      <x:c r="S58" s="34" t="str">
        <x:v>19-09-2026</x:v>
      </x:c>
    </x:row>
    <x:row r="59">
      <x:c r="A59" s="34" t="n">
        <x:v>55</x:v>
      </x:c>
      <x:c r="B59" s="34" t="str">
        <x:v>نجران</x:v>
      </x:c>
      <x:c r="C59" s="34" t="str">
        <x:v>نجران / أبا السعود</x:v>
      </x:c>
      <x:c r="D59" s="34" t="str">
        <x:v>قصر العان التاريخي</x:v>
      </x:c>
      <x:c r="E59" s="34" t="str">
        <x:v>قصر / تراث</x:v>
      </x:c>
      <x:c r="F59" s="34" t="str">
        <x:v>قصر طيني على قمة جبل العان يعود إلى نحو 1689م، من أبرز نماذج العمارة الطينية النجرانية.</x:v>
      </x:c>
      <x:c r="G59" s="36" t="n">
        <x:v>1</x:v>
      </x:c>
      <x:c r="H59" s="34" t="str">
        <x:v>منخفضة جدًا</x:v>
      </x:c>
      <x:c r="I59" s="36" t="n">
        <x:v>3</x:v>
      </x:c>
      <x:c r="J59" s="34" t="str">
        <x:v>متوسطة</x:v>
      </x:c>
      <x:c r="K59" s="34" t="str">
        <x:v>2WD</x:v>
      </x:c>
      <x:c r="L59" s="34" t="str">
        <x:v>نوفمبر–مارس</x:v>
      </x:c>
      <x:c r="M59" s="34" t="str">
        <x:v>1–2 ساعة</x:v>
      </x:c>
      <x:c r="N59" s="34" t="str">
        <x:v>الحضور الرقمي محدود جدًا؛ تحقق من إمكانية الدخول والفعاليات.</x:v>
      </x:c>
      <x:c r="O59" s="36" t="n">
        <x:v>15</x:v>
      </x:c>
      <x:c r="P59" s="34" t="str">
        <x:v>https://www.google.com/maps/search/?api=1&amp;query=%D9%82%D8%B5%D8%B1%20%D8%A7%D9%84%D8%B9%D8%A7%D9%86%20%D8%A7%D9%84%D8%AA%D8%A7%D8%B1%D9%8A%D8%AE%D9%8A%20%D9%86%D8%AC%D8%B1%D8%A7%D9%86%20/%20%D8%A3%D8%A8%D8%A7%20%D8%A7%D9%84%D8%B3%D8%B9%D9%88%D8%AF%20%D8%A7%D9%84%D8%B3%D8%B9%D9%88%D8%AF%D9%8A%D8%A9</x:v>
      </x:c>
      <x:c r="Q59" s="34" t="str">
        <x:v>Google Maps</x:v>
      </x:c>
      <x:c r="R59" s="34" t="str">
        <x:v>https://saudipedia.com/%D9%82%D8%A7%D8%A6%D9%85%D8%A9-%D8%A7%D9%84%D9%82%D8%B5%D9%88%D8%B1-%D8%A7%D9%84%D8%AA%D8%A7%D8%B1%D9%8A%D8%AE%D9%8A%D8%A9-%D8%A7%D9%84%D8%A8%D8%A7%D8%B1%D8%B2%D8%A9-%D9%81%D9%8A-%D9%85%D9%86%D8%B7%D9%82%D8%A9-%D9%86%D8%AC%D8%B1%D8%A7%D9%86</x:v>
      </x:c>
      <x:c r="S59" s="34" t="str">
        <x:v>19-09-2026</x:v>
      </x:c>
    </x:row>
    <x:row r="60">
      <x:c r="A60" s="34" t="n">
        <x:v>56</x:v>
      </x:c>
      <x:c r="B60" s="34" t="str">
        <x:v>نجران</x:v>
      </x:c>
      <x:c r="C60" s="34" t="str">
        <x:v>نجران / الفيصلية</x:v>
      </x:c>
      <x:c r="D60" s="34" t="str">
        <x:v>قصر خويران التاريخي</x:v>
      </x:c>
      <x:c r="E60" s="34" t="str">
        <x:v>قصر / تراث</x:v>
      </x:c>
      <x:c r="F60" s="34" t="str">
        <x:v>بيت طيني مرتفع من طراز الدروب النجرانية، رمم ليحافظ على شكل العمارة التقليدية.</x:v>
      </x:c>
      <x:c r="G60" s="36" t="n">
        <x:v>1</x:v>
      </x:c>
      <x:c r="H60" s="34" t="str">
        <x:v>منخفضة جدًا</x:v>
      </x:c>
      <x:c r="I60" s="36" t="n">
        <x:v>2</x:v>
      </x:c>
      <x:c r="J60" s="34" t="str">
        <x:v>متوسطة</x:v>
      </x:c>
      <x:c r="K60" s="34" t="str">
        <x:v>2WD</x:v>
      </x:c>
      <x:c r="L60" s="34" t="str">
        <x:v>نوفمبر–مارس</x:v>
      </x:c>
      <x:c r="M60" s="34" t="str">
        <x:v>45–90 دقيقة</x:v>
      </x:c>
      <x:c r="N60" s="34" t="str">
        <x:v>الموقع داخل نسيج عمراني؛ احترم الملكيات الخاصة والمنازل المحيطة.</x:v>
      </x:c>
      <x:c r="O60" s="36" t="n">
        <x:v>6</x:v>
      </x:c>
      <x:c r="P60" s="34" t="str">
        <x:v>https://www.google.com/maps/search/?api=1&amp;query=%D9%82%D8%B5%D8%B1%20%D8%AE%D9%88%D9%8A%D8%B1%D8%A7%D9%86%20%D8%A7%D9%84%D8%AA%D8%A7%D8%B1%D9%8A%D8%AE%D9%8A%20%D9%86%D8%AC%D8%B1%D8%A7%D9%86%20/%20%D8%A7%D9%84%D9%81%D9%8A%D8%B5%D9%84%D9%8A%D8%A9%20%D8%A7%D9%84%D8%B3%D8%B9%D9%88%D8%AF%D9%8A%D8%A9</x:v>
      </x:c>
      <x:c r="Q60" s="34" t="str">
        <x:v>Google Maps</x:v>
      </x:c>
      <x:c r="R60" s="34" t="str">
        <x:v>https://saudipedia.com/%D9%82%D8%A7%D8%A6%D9%85%D8%A9-%D8%A7%D9%84%D9%82%D8%B5%D9%88%D8%B1-%D8%A7%D9%84%D8%AA%D8%A7%D8%B1%D9%8A%D8%AE%D9%8A%D8%A9-%D8%A7%D9%84%D8%A8%D8%A7%D8%B1%D8%B2%D8%A9-%D9%81%D9%8A-%D9%85%D9%86%D8%B7%D9%82%D8%A9-%D9%86%D8%AC%D8%B1%D8%A7%D9%86</x:v>
      </x:c>
      <x:c r="S60" s="34" t="str">
        <x:v>19-09-2026</x:v>
      </x:c>
    </x:row>
    <x:row r="61">
      <x:c r="A61" s="34" t="n">
        <x:v>57</x:v>
      </x:c>
      <x:c r="B61" s="34" t="str">
        <x:v>الجوف</x:v>
      </x:c>
      <x:c r="C61" s="34" t="str">
        <x:v>سكاكا</x:v>
      </x:c>
      <x:c r="D61" s="34" t="str">
        <x:v>أعمدة الرجاجيل</x:v>
      </x:c>
      <x:c r="E61" s="34" t="str">
        <x:v>آثار / صخور</x:v>
      </x:c>
      <x:c r="F61" s="34" t="str">
        <x:v>مجموعات من الأعمدة الحجرية القديمة، عمر الموقع نحو سبعة آلاف سنة قبل الميلاد.</x:v>
      </x:c>
      <x:c r="G61" s="36" t="n">
        <x:v>2</x:v>
      </x:c>
      <x:c r="H61" s="34" t="str">
        <x:v>منخفضة</x:v>
      </x:c>
      <x:c r="I61" s="36" t="n">
        <x:v>3</x:v>
      </x:c>
      <x:c r="J61" s="34" t="str">
        <x:v>متوسطة</x:v>
      </x:c>
      <x:c r="K61" s="34" t="str">
        <x:v>2WD</x:v>
      </x:c>
      <x:c r="L61" s="34" t="str">
        <x:v>نوفمبر–مارس</x:v>
      </x:c>
      <x:c r="M61" s="34" t="str">
        <x:v>2–3 ساعات</x:v>
      </x:c>
      <x:c r="N61" s="34" t="str">
        <x:v>تحقق من ساعات مركز الزوار؛ خرائط Google تُظهر مركزًا بمراجعات غير موجودة.</x:v>
      </x:c>
      <x:c r="O61" s="36" t="n">
        <x:v>128</x:v>
      </x:c>
      <x:c r="P61" s="34" t="str">
        <x:v>https://www.google.com/maps/search/?api=1&amp;query=%D8%A3%D8%B9%D9%85%D8%AF%D8%A9%20%D8%A7%D9%84%D8%B1%D8%AC%D8%A7%D8%AC%D9%8A%D9%84%20%D8%B3%D9%83%D8%A7%D9%83%D8%A7%20%D8%A7%D9%84%D8%B3%D8%B9%D9%88%D8%AF%D9%8A%D8%A9</x:v>
      </x:c>
      <x:c r="Q61" s="34" t="str">
        <x:v>Google Maps + محتوى تصويري</x:v>
      </x:c>
      <x:c r="R61" s="34" t="str">
        <x:v>https://saudipedia.com/%D8%A7%D9%84%D8%A2%D8%AB%D8%A7%D8%B1-%D9%81%D9%8A-%D9%85%D9%86%D8%B7%D9%82%D8%A9-%D8%A7%D9%84%D8%AC%D9%88%D9%81</x:v>
      </x:c>
      <x:c r="S61" s="34" t="str">
        <x:v>19-09-2026</x:v>
      </x:c>
    </x:row>
    <x:row r="62">
      <x:c r="A62" s="34" t="n">
        <x:v>58</x:v>
      </x:c>
      <x:c r="B62" s="34" t="str">
        <x:v>الجوف</x:v>
      </x:c>
      <x:c r="C62" s="34" t="str">
        <x:v>سكاكا</x:v>
      </x:c>
      <x:c r="D62" s="34" t="str">
        <x:v>بئر سيسرا</x:v>
      </x:c>
      <x:c r="E62" s="34" t="str">
        <x:v>بئر / آثار</x:v>
      </x:c>
      <x:c r="F62" s="34" t="str">
        <x:v>بئر منحوتة في الصخر تعود للفترة النبطية، مع درج داخلي وقنوات مائية.</x:v>
      </x:c>
      <x:c r="G62" s="36" t="n">
        <x:v>2</x:v>
      </x:c>
      <x:c r="H62" s="34" t="str">
        <x:v>منخفضة</x:v>
      </x:c>
      <x:c r="I62" s="36" t="n">
        <x:v>2</x:v>
      </x:c>
      <x:c r="J62" s="34" t="str">
        <x:v>سهلة نسبيًا</x:v>
      </x:c>
      <x:c r="K62" s="34" t="str">
        <x:v>2WD</x:v>
      </x:c>
      <x:c r="L62" s="34" t="str">
        <x:v>نوفمبر–مارس</x:v>
      </x:c>
      <x:c r="M62" s="34" t="str">
        <x:v>1–2 ساعة</x:v>
      </x:c>
      <x:c r="N62" s="34" t="str">
        <x:v>الموقع قريب من المدينة ويمكن دمجه مع قلعة زعبل دون جعله محورًا رئيسيًا للرحلة.</x:v>
      </x:c>
      <x:c r="O62" s="36" t="n">
        <x:v>245</x:v>
      </x:c>
      <x:c r="P62" s="34" t="str">
        <x:v>https://www.google.com/maps/search/?api=1&amp;query=%D8%A8%D8%A6%D8%B1%20%D8%B3%D9%8A%D8%B3%D8%B1%D8%A7%20%D8%B3%D9%83%D8%A7%D9%83%D8%A7%20%D8%A7%D9%84%D8%B3%D8%B9%D9%88%D8%AF%D9%8A%D8%A9</x:v>
      </x:c>
      <x:c r="Q62" s="34" t="str">
        <x:v>Google Maps</x:v>
      </x:c>
      <x:c r="R62" s="34" t="str">
        <x:v>https://saudipedia.com/%D8%A7%D9%84%D8%A2%D8%AB%D8%A7%D8%B1-%D9%81%D9%8A-%D9%85%D9%86%D8%B7%D9%82%D8%A9-%D8%A7%D9%84%D8%AC%D9%88%D9%81</x:v>
      </x:c>
      <x:c r="S62" s="34" t="str">
        <x:v>19-09-2026</x:v>
      </x:c>
    </x:row>
    <x:row r="63">
      <x:c r="A63" s="34" t="n">
        <x:v>59</x:v>
      </x:c>
      <x:c r="B63" s="34" t="str">
        <x:v>الجوف</x:v>
      </x:c>
      <x:c r="C63" s="34" t="str">
        <x:v>القريات / جبل الصعيدي</x:v>
      </x:c>
      <x:c r="D63" s="34" t="str">
        <x:v>قلعة الصعيدي</x:v>
      </x:c>
      <x:c r="E63" s="34" t="str">
        <x:v>قلعة / جبل</x:v>
      </x:c>
      <x:c r="F63" s="34" t="str">
        <x:v>سور حجري يحيط بقمة جبل الصعيدي، مع أبراج وتضاريس بازلتية.</x:v>
      </x:c>
      <x:c r="G63" s="36" t="n">
        <x:v>1</x:v>
      </x:c>
      <x:c r="H63" s="34" t="str">
        <x:v>منخفضة جدًا</x:v>
      </x:c>
      <x:c r="I63" s="36" t="n">
        <x:v>4</x:v>
      </x:c>
      <x:c r="J63" s="34" t="str">
        <x:v>مرتفعة</x:v>
      </x:c>
      <x:c r="K63" s="34" t="str">
        <x:v>4x4 + مشي</x:v>
      </x:c>
      <x:c r="L63" s="34" t="str">
        <x:v>نوفمبر–مارس</x:v>
      </x:c>
      <x:c r="M63" s="34" t="str">
        <x:v>3–5 ساعات</x:v>
      </x:c>
      <x:c r="N63" s="34" t="str">
        <x:v>الوصول لمواقع القمة يحتاج حذرًا؛ لا تعتمد على السيارة حتى القلعة نفسها.</x:v>
      </x:c>
      <x:c r="O63" s="36" t="str">
        <x:v>غير موثق في نتائج الخرائط التي تحققت منها</x:v>
      </x:c>
      <x:c r="P63" s="34" t="str">
        <x:v>https://www.google.com/maps/search/?api=1&amp;query=%D9%82%D9%84%D8%B9%D8%A9%20%D8%A7%D9%84%D8%B5%D8%B9%D9%8A%D8%AF%D9%8A%20%D8%A7%D9%84%D9%82%D8%B1%D9%8A%D8%A7%D8%AA%20/%20%D8%AC%D8%A8%D9%84%20%D8%A7%D9%84%D8%B5%D8%B9%D9%8A%D8%AF%D9%8A%20%D8%A7%D9%84%D8%B3%D8%B9%D9%88%D8%AF%D9%8A%D8%A9</x:v>
      </x:c>
      <x:c r="Q63" s="34" t="str">
        <x:v>بحث ويب/محتوى محلي</x:v>
      </x:c>
      <x:c r="R63" s="34" t="str">
        <x:v>https://saudipedia.com/%D8%A7%D9%84%D8%A2%D8%AB%D8%A7%D8%B1-%D9%81%D9%8A-%D9%85%D9%86%D8%B7%D9%82%D8%A9-%D8%A7%D9%84%D8%AC%D9%88%D9%81</x:v>
      </x:c>
      <x:c r="S63" s="34" t="str">
        <x:v>19-09-2026</x:v>
      </x:c>
    </x:row>
    <x:row r="64">
      <x:c r="A64" s="34" t="n">
        <x:v>60</x:v>
      </x:c>
      <x:c r="B64" s="34" t="str">
        <x:v>الجوف</x:v>
      </x:c>
      <x:c r="C64" s="34" t="str">
        <x:v>شمال غرب دومة الجندل</x:v>
      </x:c>
      <x:c r="D64" s="34" t="str">
        <x:v>موقع الصنيميات</x:v>
      </x:c>
      <x:c r="E64" s="34" t="str">
        <x:v>آثار / قبور قديمة</x:v>
      </x:c>
      <x:c r="F64" s="34" t="str">
        <x:v>تلال أثرية ومقابر جماعية وبقايا مادية من الفترتين الرومانية والنبطية بحسب الدراسات الأثرية.</x:v>
      </x:c>
      <x:c r="G64" s="36" t="n">
        <x:v>1</x:v>
      </x:c>
      <x:c r="H64" s="34" t="str">
        <x:v>منخفضة جدًا</x:v>
      </x:c>
      <x:c r="I64" s="36" t="n">
        <x:v>4</x:v>
      </x:c>
      <x:c r="J64" s="34" t="str">
        <x:v>مرتفعة</x:v>
      </x:c>
      <x:c r="K64" s="34" t="str">
        <x:v>4x4</x:v>
      </x:c>
      <x:c r="L64" s="34" t="str">
        <x:v>نوفمبر–مارس</x:v>
      </x:c>
      <x:c r="M64" s="34" t="str">
        <x:v>2–4 ساعات</x:v>
      </x:c>
      <x:c r="N64" s="34" t="str">
        <x:v>موقع أثري غير مطور؛ لا تحفر أو تلمس البقايا.</x:v>
      </x:c>
      <x:c r="O64" s="36" t="str">
        <x:v>غير موثق في نتائج الخرائط التي تحققت منها</x:v>
      </x:c>
      <x:c r="P64" s="34" t="str">
        <x:v>https://www.google.com/maps/search/?api=1&amp;query=%D9%85%D9%88%D9%82%D8%B9%20%D8%A7%D9%84%D8%B5%D9%86%D9%8A%D9%85%D9%8A%D8%A7%D8%AA%20%D8%B4%D9%85%D8%A7%D9%84%20%D8%BA%D8%B1%D8%A8%20%D8%AF%D9%88%D9%85%D8%A9%20%D8%A7%D9%84%D8%AC%D9%86%D8%AF%D9%84%20%D8%A7%D9%84%D8%B3%D8%B9%D9%88%D8%AF%D9%8A%D8%A9</x:v>
      </x:c>
      <x:c r="Q64" s="34" t="str">
        <x:v>بحث ويب/محتوى محلي</x:v>
      </x:c>
      <x:c r="R64" s="34" t="str">
        <x:v>https://saudipedia.com/%D8%A7%D9%84%D8%A2%D8%AB%D8%A7%D8%B1-%D9%81%D9%8A-%D9%85%D9%86%D8%B7%D9%82%D8%A9-%D8%A7%D9%84%D8%AC%D9%88%D9%81</x:v>
      </x:c>
      <x:c r="S64" s="34" t="str">
        <x:v>19-09-2026</x:v>
      </x:c>
    </x:row>
    <x:row r="65">
      <x:c r="A65" s="34" t="n">
        <x:v>61</x:v>
      </x:c>
      <x:c r="B65" s="34" t="str">
        <x:v>الجوف</x:v>
      </x:c>
      <x:c r="C65" s="34" t="str">
        <x:v>شمال غرب سكاكا</x:v>
      </x:c>
      <x:c r="D65" s="34" t="str">
        <x:v>موقع قبال</x:v>
      </x:c>
      <x:c r="E65" s="34" t="str">
        <x:v>آثار / استيطان</x:v>
      </x:c>
      <x:c r="F65" s="34" t="str">
        <x:v>بقايا مستوطنة ومبانٍ حجرية وأثر منشأة رسمية عند سفح جبل قيال.</x:v>
      </x:c>
      <x:c r="G65" s="36" t="n">
        <x:v>1</x:v>
      </x:c>
      <x:c r="H65" s="34" t="str">
        <x:v>منخفضة جدًا</x:v>
      </x:c>
      <x:c r="I65" s="36" t="n">
        <x:v>4</x:v>
      </x:c>
      <x:c r="J65" s="34" t="str">
        <x:v>مرتفعة</x:v>
      </x:c>
      <x:c r="K65" s="34" t="str">
        <x:v>4x4 + مشي</x:v>
      </x:c>
      <x:c r="L65" s="34" t="str">
        <x:v>نوفمبر–مارس</x:v>
      </x:c>
      <x:c r="M65" s="34" t="str">
        <x:v>2–4 ساعات</x:v>
      </x:c>
      <x:c r="N65" s="34" t="str">
        <x:v>الموقع ذو قيمة أثرية؛ الزيارة تكون للمشاهدة فقط مع احترام الموقع.</x:v>
      </x:c>
      <x:c r="O65" s="36" t="str">
        <x:v>غير موثق في نتائج الخرائط التي تحققت منها</x:v>
      </x:c>
      <x:c r="P65" s="34" t="str">
        <x:v>https://www.google.com/maps/search/?api=1&amp;query=%D9%85%D9%88%D9%82%D8%B9%20%D9%82%D8%A8%D8%A7%D9%84%20%D8%B4%D9%85%D8%A7%D9%84%20%D8%BA%D8%B1%D8%A8%20%D8%B3%D9%83%D8%A7%D9%83%D8%A7%20%D8%A7%D9%84%D8%B3%D8%B9%D9%88%D8%AF%D9%8A%D8%A9</x:v>
      </x:c>
      <x:c r="Q65" s="34" t="str">
        <x:v>بحث ويب/محتوى محلي</x:v>
      </x:c>
      <x:c r="R65" s="34" t="str">
        <x:v>https://saudipedia.com/%D8%A7%D9%84%D8%A2%D8%AB%D8%A7%D8%B1-%D9%81%D9%8A-%D9%85%D9%86%D8%B7%D9%82%D8%A9-%D8%A7%D9%84%D8%AC%D9%88%D9%81</x:v>
      </x:c>
      <x:c r="S65" s="34" t="str">
        <x:v>19-09-2026</x:v>
      </x:c>
    </x:row>
    <x:row r="66">
      <x:c r="A66" s="34" t="n">
        <x:v>62</x:v>
      </x:c>
      <x:c r="B66" s="34" t="str">
        <x:v>الحدود الشمالية</x:v>
      </x:c>
      <x:c r="C66" s="34" t="str">
        <x:v>رفحاء / لينة</x:v>
      </x:c>
      <x:c r="D66" s="34" t="str">
        <x:v>سوق لينة التاريخي</x:v>
      </x:c>
      <x:c r="E66" s="34" t="str">
        <x:v>تراث / سوق قديم</x:v>
      </x:c>
      <x:c r="F66" s="34" t="str">
        <x:v>بقايا سوق قديم ومحال مبنية بالطين وسعف النخيل على أحد مسارات التجارة التاريخية.</x:v>
      </x:c>
      <x:c r="G66" s="36" t="n">
        <x:v>1</x:v>
      </x:c>
      <x:c r="H66" s="34" t="str">
        <x:v>منخفضة جدًا</x:v>
      </x:c>
      <x:c r="I66" s="36" t="n">
        <x:v>4</x:v>
      </x:c>
      <x:c r="J66" s="34" t="str">
        <x:v>مرتفعة</x:v>
      </x:c>
      <x:c r="K66" s="34" t="str">
        <x:v>2WD</x:v>
      </x:c>
      <x:c r="L66" s="34" t="str">
        <x:v>أكتوبر–مارس</x:v>
      </x:c>
      <x:c r="M66" s="34" t="str">
        <x:v>1–2 ساعة</x:v>
      </x:c>
      <x:c r="N66" s="34" t="str">
        <x:v>رحلة طويلة نسبيًا من المدن الكبرى؛ اجعلها محطة ضمن مسار شمالي.</x:v>
      </x:c>
      <x:c r="O66" s="36" t="str">
        <x:v>غير موثق في نتائج الخرائط التي تحققت منها</x:v>
      </x:c>
      <x:c r="P66" s="34" t="str">
        <x:v>https://www.google.com/maps/search/?api=1&amp;query=%D8%B3%D9%88%D9%82%20%D9%84%D9%8A%D9%86%D8%A9%20%D8%A7%D9%84%D8%AA%D8%A7%D8%B1%D9%8A%D8%AE%D9%8A%20%D8%B1%D9%81%D8%AD%D8%A7%D8%A1%20/%20%D9%84%D9%8A%D9%86%D8%A9%20%D8%A7%D9%84%D8%B3%D8%B9%D9%88%D8%AF%D9%8A%D8%A9</x:v>
      </x:c>
      <x:c r="Q66" s="34" t="str">
        <x:v>بحث ويب/محتوى محلي</x:v>
      </x:c>
      <x:c r="R66" s="34" t="str">
        <x:v>https://saudipedia.com/%D8%A7%D9%84%D8%A2%D8%AB%D8%A7%D8%B1-%D9%81%D9%8A-%D9%85%D9%86%D8%B7%D9%82%D8%A9-%D8%A7%D9%84%D8%AD%D8%AF%D9%88%D8%AF-%D8%A7%D9%84%D8%B4%D9%85%D8%A7%D9%84%D9%8A%D8%A9</x:v>
      </x:c>
      <x:c r="S66" s="34" t="str">
        <x:v>19-09-2026</x:v>
      </x:c>
    </x:row>
    <x:row r="67">
      <x:c r="A67" s="34" t="n">
        <x:v>63</x:v>
      </x:c>
      <x:c r="B67" s="34" t="str">
        <x:v>الحدود الشمالية</x:v>
      </x:c>
      <x:c r="C67" s="34" t="str">
        <x:v>رفحاء / لينة</x:v>
      </x:c>
      <x:c r="D67" s="34" t="str">
        <x:v>قصر الملك عبدالعزيز في لينة</x:v>
      </x:c>
      <x:c r="E67" s="34" t="str">
        <x:v>قصر / تاريخ</x:v>
      </x:c>
      <x:c r="F67" s="34" t="str">
        <x:v>قصر تاريخي من الحجر والطين واللبن بني عام 1935–1936م ويضم فناءً وأبراجًا وغرفًا متعددة.</x:v>
      </x:c>
      <x:c r="G67" s="36" t="n">
        <x:v>1</x:v>
      </x:c>
      <x:c r="H67" s="34" t="str">
        <x:v>منخفضة جدًا</x:v>
      </x:c>
      <x:c r="I67" s="36" t="n">
        <x:v>4</x:v>
      </x:c>
      <x:c r="J67" s="34" t="str">
        <x:v>مرتفعة</x:v>
      </x:c>
      <x:c r="K67" s="34" t="str">
        <x:v>2WD</x:v>
      </x:c>
      <x:c r="L67" s="34" t="str">
        <x:v>أكتوبر–مارس</x:v>
      </x:c>
      <x:c r="M67" s="34" t="str">
        <x:v>1–2 ساعة</x:v>
      </x:c>
      <x:c r="N67" s="34" t="str">
        <x:v>تحقق من الفتح الفعلي قبل السفر، خاصة خارج مواسم الفعاليات.</x:v>
      </x:c>
      <x:c r="O67" s="36" t="str">
        <x:v>غير موثق في نتائج الخرائط التي تحققت منها</x:v>
      </x:c>
      <x:c r="P67" s="34" t="str">
        <x:v>https://www.google.com/maps/search/?api=1&amp;query=%D9%82%D8%B5%D8%B1%20%D8%A7%D9%84%D9%85%D9%84%D9%83%20%D8%B9%D8%A8%D8%AF%D8%A7%D9%84%D8%B9%D8%B2%D9%8A%D8%B2%20%D9%81%D9%8A%20%D9%84%D9%8A%D9%86%D8%A9%20%D8%B1%D9%81%D8%AD%D8%A7%D8%A1%20/%20%D9%84%D9%8A%D9%86%D8%A9%20%D8%A7%D9%84%D8%B3%D8%B9%D9%88%D8%AF%D9%8A%D8%A9</x:v>
      </x:c>
      <x:c r="Q67" s="34" t="str">
        <x:v>بحث ويب/محتوى محلي</x:v>
      </x:c>
      <x:c r="R67" s="34" t="str">
        <x:v>https://saudipedia.com/%D9%83%D9%85-%D8%AA%D8%A8%D9%84%D8%BA-%D9%85%D8%B3%D8%A7%D8%AD%D8%A9-%D9%82%D8%B5%D8%B1-%D8%A7%D9%84%D9%85%D9%84%D9%83-%D8%B9%D8%A8%D8%AF%D8%A7%D9%84%D8%B9%D8%B2%D9%8A%D8%B2-%D8%A7%D9%84%D8%AA%D8%A7%D8%B1%D9%8A%D8%AE%D9%8A-%D9%81%D9%8A-%D9%84%D9%8A%D9%86%D8%A9%D8%9F</x:v>
      </x:c>
      <x:c r="S67" s="34" t="str">
        <x:v>19-09-2026</x:v>
      </x:c>
    </x:row>
    <x:row r="68">
      <x:c r="A68" s="34" t="n">
        <x:v>64</x:v>
      </x:c>
      <x:c r="B68" s="34" t="str">
        <x:v>الحدود الشمالية</x:v>
      </x:c>
      <x:c r="C68" s="34" t="str">
        <x:v>طريف / جنوب غربها</x:v>
      </x:c>
      <x:c r="D68" s="34" t="str">
        <x:v>قصر دوقرة الأثري</x:v>
      </x:c>
      <x:c r="E68" s="34" t="str">
        <x:v>قصر / بادية أثرية</x:v>
      </x:c>
      <x:c r="F68" s="34" t="str">
        <x:v>قصر من الأحجار البركانية بجوار جبل أقرن ومنطقة حَرّة وبحيرة موسمية بعد الأمطار.</x:v>
      </x:c>
      <x:c r="G68" s="36" t="n">
        <x:v>1</x:v>
      </x:c>
      <x:c r="H68" s="34" t="str">
        <x:v>منخفضة جدًا</x:v>
      </x:c>
      <x:c r="I68" s="36" t="n">
        <x:v>5</x:v>
      </x:c>
      <x:c r="J68" s="34" t="str">
        <x:v>عالية جدًا</x:v>
      </x:c>
      <x:c r="K68" s="34" t="str">
        <x:v>4x4 مفضل</x:v>
      </x:c>
      <x:c r="L68" s="34" t="str">
        <x:v>أكتوبر–مارس</x:v>
      </x:c>
      <x:c r="M68" s="34" t="str">
        <x:v>3–5 ساعات</x:v>
      </x:c>
      <x:c r="N68" s="34" t="str">
        <x:v>من أكثر المواقع عزلة في القائمة؛ لا تُبنى الرحلة على الطريق المعبد فقط.</x:v>
      </x:c>
      <x:c r="O68" s="36" t="str">
        <x:v>غير موثق في نتائج الخرائط التي تحققت منها</x:v>
      </x:c>
      <x:c r="P68" s="34" t="str">
        <x:v>https://www.google.com/maps/search/?api=1&amp;query=%D9%82%D8%B5%D8%B1%20%D8%AF%D9%88%D9%82%D8%B1%D8%A9%20%D8%A7%D9%84%D8%A3%D8%AB%D8%B1%D9%8A%20%D8%B7%D8%B1%D9%8A%D9%81%20/%20%D8%AC%D9%86%D9%88%D8%A8%20%D8%BA%D8%B1%D8%A8%D9%87%D8%A7%20%D8%A7%D9%84%D8%B3%D8%B9%D9%88%D8%AF%D9%8A%D8%A9</x:v>
      </x:c>
      <x:c r="Q68" s="34" t="str">
        <x:v>بحث ويب/محتوى محلي</x:v>
      </x:c>
      <x:c r="R68" s="34" t="str">
        <x:v>https://saudipedia.com/%D9%82%D8%B5%D8%B1-%D8%AF%D9%88%D9%82%D8%B1%D8%A9</x:v>
      </x:c>
      <x:c r="S68" s="34" t="str">
        <x:v>19-09-2026</x:v>
      </x:c>
    </x:row>
    <x:row r="69">
      <x:c r="A69" s="34" t="n">
        <x:v>65</x:v>
      </x:c>
      <x:c r="B69" s="34" t="str">
        <x:v>الحدود الشمالية</x:v>
      </x:c>
      <x:c r="C69" s="34" t="str">
        <x:v>جنوب رفحاء</x:v>
      </x:c>
      <x:c r="D69" s="34" t="str">
        <x:v>موقع الثليمة (الهيثم)</x:v>
      </x:c>
      <x:c r="E69" s="34" t="str">
        <x:v>آثار / محطة درب</x:v>
      </x:c>
      <x:c r="F69" s="34" t="str">
        <x:v>بركة دائرية وقناة ومكونات لمحطة تاريخية مرتبطة بمسار الحج القديم.</x:v>
      </x:c>
      <x:c r="G69" s="36" t="n">
        <x:v>1</x:v>
      </x:c>
      <x:c r="H69" s="34" t="str">
        <x:v>منخفضة جدًا</x:v>
      </x:c>
      <x:c r="I69" s="36" t="n">
        <x:v>5</x:v>
      </x:c>
      <x:c r="J69" s="34" t="str">
        <x:v>عالية جدًا</x:v>
      </x:c>
      <x:c r="K69" s="34" t="str">
        <x:v>4x4</x:v>
      </x:c>
      <x:c r="L69" s="34" t="str">
        <x:v>أكتوبر–مارس</x:v>
      </x:c>
      <x:c r="M69" s="34" t="str">
        <x:v>3–5 ساعات</x:v>
      </x:c>
      <x:c r="N69" s="34" t="str">
        <x:v>موقع أثري نائي؛ يفضل وجود سيارة ثانية/مرافقة عند الاستكشاف.</x:v>
      </x:c>
      <x:c r="O69" s="36" t="str">
        <x:v>غير موثق في نتائج الخرائط التي تحققت منها</x:v>
      </x:c>
      <x:c r="P69" s="34" t="str">
        <x:v>https://www.google.com/maps/search/?api=1&amp;query=%D9%85%D9%88%D9%82%D8%B9%20%D8%A7%D9%84%D8%AB%D9%84%D9%8A%D9%85%D8%A9%20%28%D8%A7%D9%84%D9%87%D9%8A%D8%AB%D9%85%29%20%D8%AC%D9%86%D9%88%D8%A8%20%D8%B1%D9%81%D8%AD%D8%A7%D8%A1%20%D8%A7%D9%84%D8%B3%D8%B9%D9%88%D8%AF%D9%8A%D8%A9</x:v>
      </x:c>
      <x:c r="Q69" s="34" t="str">
        <x:v>بحث ويب/محتوى محلي</x:v>
      </x:c>
      <x:c r="R69" s="34" t="str">
        <x:v>https://saudipedia.com/%D8%A7%D9%84%D8%A2%D8%AB%D8%A7%D8%B1-%D9%81%D9%8A-%D9%85%D9%86%D8%B7%D9%82%D8%A9-%D8%A7%D9%84%D8%AD%D8%AF%D9%88%D8%AF-%D8%A7%D9%84%D8%B4%D9%85%D8%A7%D9%84%D9%8A%D8%A9</x:v>
      </x:c>
      <x:c r="S69" s="34" t="str">
        <x:v>19-09-2026</x:v>
      </x:c>
    </x:row>
    <x:row r="70">
      <x:c r="A70" s="34" t="n">
        <x:v>66</x:v>
      </x:c>
      <x:c r="B70" s="34" t="str">
        <x:v>الحدود الشمالية</x:v>
      </x:c>
      <x:c r="C70" s="34" t="str">
        <x:v>قرب زبالا</x:v>
      </x:c>
      <x:c r="D70" s="34" t="str">
        <x:v>موقع الغمياء</x:v>
      </x:c>
      <x:c r="E70" s="34" t="str">
        <x:v>آثار / محطة</x:v>
      </x:c>
      <x:c r="F70" s="34" t="str">
        <x:v>محطة صغيرة من درب الحج، تضم قصرًا حجريًا ومسجدًا وآثار استخدام تاريخي.</x:v>
      </x:c>
      <x:c r="G70" s="36" t="n">
        <x:v>1</x:v>
      </x:c>
      <x:c r="H70" s="34" t="str">
        <x:v>منخفضة جدًا</x:v>
      </x:c>
      <x:c r="I70" s="36" t="n">
        <x:v>5</x:v>
      </x:c>
      <x:c r="J70" s="34" t="str">
        <x:v>عالية جدًا</x:v>
      </x:c>
      <x:c r="K70" s="34" t="str">
        <x:v>4x4</x:v>
      </x:c>
      <x:c r="L70" s="34" t="str">
        <x:v>أكتوبر–مارس</x:v>
      </x:c>
      <x:c r="M70" s="34" t="str">
        <x:v>3–5 ساعات</x:v>
      </x:c>
      <x:c r="N70" s="34" t="str">
        <x:v>التزود بالوقود والماء أساسي؛ التغطية قد تكون محدودة.</x:v>
      </x:c>
      <x:c r="O70" s="36" t="str">
        <x:v>غير موثق في نتائج الخرائط التي تحققت منها</x:v>
      </x:c>
      <x:c r="P70" s="34" t="str">
        <x:v>https://www.google.com/maps/search/?api=1&amp;query=%D9%85%D9%88%D9%82%D8%B9%20%D8%A7%D9%84%D8%BA%D9%85%D9%8A%D8%A7%D8%A1%20%D9%82%D8%B1%D8%A8%20%D8%B2%D8%A8%D8%A7%D9%84%D8%A7%20%D8%A7%D9%84%D8%B3%D8%B9%D9%88%D8%AF%D9%8A%D8%A9</x:v>
      </x:c>
      <x:c r="Q70" s="34" t="str">
        <x:v>بحث ويب/محتوى محلي</x:v>
      </x:c>
      <x:c r="R70" s="34" t="str">
        <x:v>https://saudipedia.com/%D8%A7%D9%84%D8%A2%D8%AB%D8%A7%D8%B1-%D9%81%D9%8A-%D9%85%D9%86%D8%B7%D9%82%D8%A9-%D8%A7%D9%84%D8%AD%D8%AF%D9%88%D8%AF-%D8%A7%D9%84%D8%B4%D9%85%D8%A7%D9%84%D9%8A%D8%A9</x:v>
      </x:c>
      <x:c r="S70" s="34" t="str">
        <x:v>19-09-2026</x:v>
      </x:c>
    </x:row>
    <x:row r="71">
      <x:c r="A71" s="38" t="n">
        <x:v>67</x:v>
      </x:c>
      <x:c r="B71" s="38" t="str">
        <x:v>الحدود الشمالية</x:v>
      </x:c>
      <x:c r="C71" s="38" t="str">
        <x:v>شمال غرب رفحاء / زبالا</x:v>
      </x:c>
      <x:c r="D71" s="38" t="str">
        <x:v>موقع الظفيري</x:v>
      </x:c>
      <x:c r="E71" s="38" t="str">
        <x:v>آثار / محطة درب</x:v>
      </x:c>
      <x:c r="F71" s="38" t="str">
        <x:v>آخر محطات درب زبيدة داخل الحدود السعودية بحسب سعوديبيديا، مع بركة وآثار محطة.</x:v>
      </x:c>
      <x:c r="G71" s="39" t="n">
        <x:v>1</x:v>
      </x:c>
      <x:c r="H71" s="38" t="str">
        <x:v>منخفضة جدًا</x:v>
      </x:c>
      <x:c r="I71" s="39" t="n">
        <x:v>5</x:v>
      </x:c>
      <x:c r="J71" s="38" t="str">
        <x:v>عالية جدًا</x:v>
      </x:c>
      <x:c r="K71" s="38" t="str">
        <x:v>4x4</x:v>
      </x:c>
      <x:c r="L71" s="38" t="str">
        <x:v>أكتوبر–مارس</x:v>
      </x:c>
      <x:c r="M71" s="38" t="str">
        <x:v>3–5 ساعات</x:v>
      </x:c>
      <x:c r="N71" s="38" t="str">
        <x:v>زيارة استكشافية بحتة؛ خطط للتزود والإحداثيات مسبقًا.</x:v>
      </x:c>
      <x:c r="O71" s="39" t="str">
        <x:v>غير موثق في نتائج الخرائط التي تحققت منها</x:v>
      </x:c>
      <x:c r="P71" s="38" t="str">
        <x:v>https://www.google.com/maps/search/?api=1&amp;query=%D9%85%D9%88%D9%82%D8%B9%20%D8%A7%D9%84%D8%B8%D9%81%D9%8A%D8%B1%D9%8A%20%D8%B4%D9%85%D8%A7%D9%84%20%D8%BA%D8%B1%D8%A8%20%D8%B1%D9%81%D8%AD%D8%A7%D8%A1%20/%20%D8%B2%D8%A8%D8%A7%D9%84%D8%A7%20%D8%A7%D9%84%D8%B3%D8%B9%D9%88%D8%AF%D9%8A%D8%A9</x:v>
      </x:c>
      <x:c r="Q71" s="38" t="str">
        <x:v>بحث ويب/محتوى محلي</x:v>
      </x:c>
      <x:c r="R71" s="38" t="str">
        <x:v>https://saudipedia.com/%D8%A7%D9%84%D8%A2%D8%AB%D8%A7%D8%B1-%D9%81%D9%8A-%D9%85%D9%86%D8%B7%D9%82%D8%A9-%D8%A7%D9%84%D8%AD%D8%AF%D9%88%D8%AF-%D8%A7%D9%84%D8%B4%D9%85%D8%A7%D9%84%D9%8A%D8%A9</x:v>
      </x:c>
      <x:c r="S71" s="38" t="str">
        <x:v>19-09-2026</x:v>
      </x:c>
    </x:row>
  </x:sheetData>
  <x:mergeCells>
    <x:mergeCell ref="A1:S1"/>
    <x:mergeCell ref="A2:S2"/>
  </x:mergeCells>
  <x:conditionalFormatting sqref="G5:G7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5:I7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a71582d8bd47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20" hidden="0" customWidth="1"/>
    <x:col min="4" max="4" width="20" hidden="0" customWidth="1"/>
    <x:col min="6" max="6" width="22" hidden="0" customWidth="1"/>
    <x:col min="7" max="7" width="34" hidden="0" customWidth="1"/>
  </x:cols>
  <x:sheetData>
    <x:row r="1">
      <x:c r="A1" s="5" t="str">
        <x:v>ملخص سريع للقائمة</x:v>
      </x:c>
      <x:c r="B1" s="5"/>
      <x:c r="C1" s="5"/>
      <x:c r="D1" s="5"/>
      <x:c r="E1" s="5"/>
      <x:c r="F1" s="5"/>
      <x:c r="G1" s="5"/>
      <x:c r="H1" s="5"/>
    </x:row>
    <x:row r="3">
      <x:c r="A3" s="25" t="str">
        <x:v>المؤشر</x:v>
      </x:c>
      <x:c r="B3" s="25" t="str">
        <x:v>القيمة</x:v>
      </x:c>
      <x:c r="C3" s="42"/>
      <x:c r="D3" s="42"/>
      <x:c r="E3" s="42"/>
      <x:c r="F3" s="25" t="str">
        <x:v>مفتاح المؤشرات</x:v>
      </x:c>
      <x:c r="G3" s="25" t="str">
        <x:v>التفسير</x:v>
      </x:c>
    </x:row>
    <x:row r="4">
      <x:c r="A4" s="42" t="str">
        <x:v>إجمالي الوجهات</x:v>
      </x:c>
      <x:c r="B4" s="42" t="n">
        <x:f>COUNTA('الدليل الكامل'!D5:D71)</x:f>
        <x:v>67</x:v>
      </x:c>
      <x:c r="C4" s="42"/>
      <x:c r="D4" s="42"/>
      <x:c r="E4" s="42"/>
      <x:c r="F4" s="42" t="str">
        <x:v>الشهرة 1</x:v>
      </x:c>
      <x:c r="G4" s="42" t="str">
        <x:v>ظهور رقمي محدود جدًا</x:v>
      </x:c>
    </x:row>
    <x:row r="5">
      <x:c r="A5" s="42" t="str">
        <x:v>عدد المناطق الإدارية</x:v>
      </x:c>
      <x:c r="B5" s="42" t="n">
        <x:v>13</x:v>
      </x:c>
      <x:c r="C5" s="42"/>
      <x:c r="D5" s="42"/>
      <x:c r="E5" s="42"/>
      <x:c r="F5" s="42" t="str">
        <x:v>الشهرة 2</x:v>
      </x:c>
      <x:c r="G5" s="42" t="str">
        <x:v>معروفة محليًا أكثر من وطنيًا</x:v>
      </x:c>
    </x:row>
    <x:row r="6">
      <x:c r="A6" s="42" t="str">
        <x:v>عزلة مرتفعة جدًا (4–5)</x:v>
      </x:c>
      <x:c r="B6" s="42" t="n">
        <x:f>COUNTIF('الدليل الكامل'!I5:I71,"&gt;=4")</x:f>
        <x:v>32</x:v>
      </x:c>
      <x:c r="C6" s="42"/>
      <x:c r="D6" s="42"/>
      <x:c r="E6" s="42"/>
      <x:c r="F6" s="42" t="str">
        <x:v>الشهرة 3</x:v>
      </x:c>
      <x:c r="G6" s="42" t="str">
        <x:v>حضور متوسط</x:v>
      </x:c>
    </x:row>
    <x:row r="7">
      <x:c r="A7" s="42" t="str">
        <x:v>شهرة رقمية منخفضة (1–2)</x:v>
      </x:c>
      <x:c r="B7" s="42" t="n">
        <x:f>COUNTIF('الدليل الكامل'!G5:G71,"&lt;=2")</x:f>
        <x:v>56</x:v>
      </x:c>
      <x:c r="C7" s="42"/>
      <x:c r="D7" s="42"/>
      <x:c r="E7" s="42"/>
      <x:c r="F7" s="42" t="str">
        <x:v>الشهرة 4</x:v>
      </x:c>
      <x:c r="G7" s="42" t="str">
        <x:v>معروفة نسبيًا</x:v>
      </x:c>
    </x:row>
    <x:row r="8">
      <x:c r="A8" s="42"/>
      <x:c r="B8" s="42"/>
      <x:c r="C8" s="42"/>
      <x:c r="D8" s="42"/>
      <x:c r="E8" s="42"/>
      <x:c r="F8" s="42" t="str">
        <x:v>الشهرة 5</x:v>
      </x:c>
      <x:c r="G8" s="42" t="str">
        <x:v>شائعة/معلومة على نطاق واسع</x:v>
      </x:c>
    </x:row>
    <x:row r="9">
      <x:c r="A9" s="42"/>
      <x:c r="B9" s="42"/>
      <x:c r="C9" s="42"/>
      <x:c r="D9" s="42"/>
      <x:c r="E9" s="42"/>
      <x:c r="F9" s="42" t="str">
        <x:v>العزلة 1</x:v>
      </x:c>
      <x:c r="G9" s="42" t="str">
        <x:v>سهلة الوصول وقريبة من المدن</x:v>
      </x:c>
    </x:row>
    <x:row r="10">
      <x:c r="A10" s="25" t="str">
        <x:v>المنطقة</x:v>
      </x:c>
      <x:c r="B10" s="25" t="str">
        <x:v>عدد الوجهات</x:v>
      </x:c>
      <x:c r="C10" s="25" t="str">
        <x:v>متوسط الشهرة الرقمية</x:v>
      </x:c>
      <x:c r="D10" s="25" t="str">
        <x:v>متوسط العزلة</x:v>
      </x:c>
      <x:c r="E10" s="42"/>
      <x:c r="F10" s="42" t="str">
        <x:v>العزلة 3</x:v>
      </x:c>
      <x:c r="G10" s="42" t="str">
        <x:v>وصول متوسط</x:v>
      </x:c>
    </x:row>
    <x:row r="11">
      <x:c r="A11" s="34" t="str">
        <x:v>الرياض</x:v>
      </x:c>
      <x:c r="B11" s="34" t="n">
        <x:f>COUNTIF('الدليل الكامل'!B5:B71,A11)</x:f>
        <x:v>5</x:v>
      </x:c>
      <x:c r="C11" s="34" t="n">
        <x:f>AVERAGEIF('الدليل الكامل'!B5:B71,A11,'الدليل الكامل'!G5:G71)</x:f>
        <x:v>2.8</x:v>
      </x:c>
      <x:c r="D11" s="34" t="n">
        <x:f>AVERAGEIF('الدليل الكامل'!B5:B71,A11,'الدليل الكامل'!I5:I71)</x:f>
        <x:v>2.2</x:v>
      </x:c>
      <x:c r="E11" s="42"/>
      <x:c r="F11" s="42" t="str">
        <x:v>العزلة 5</x:v>
      </x:c>
      <x:c r="G11" s="42" t="str">
        <x:v>بعيدة/برية وتتطلب تخطيطًا</x:v>
      </x:c>
    </x:row>
    <x:row r="12">
      <x:c r="A12" s="34" t="str">
        <x:v>مكة المكرمة</x:v>
      </x:c>
      <x:c r="B12" s="34" t="n">
        <x:f>COUNTIF('الدليل الكامل'!B5:B71,A12)</x:f>
        <x:v>5</x:v>
      </x:c>
      <x:c r="C12" s="34" t="n">
        <x:f>AVERAGEIF('الدليل الكامل'!B5:B71,A12,'الدليل الكامل'!G5:G71)</x:f>
        <x:v>1.4</x:v>
      </x:c>
      <x:c r="D12" s="34" t="n">
        <x:f>AVERAGEIF('الدليل الكامل'!B5:B71,A12,'الدليل الكامل'!I5:I71)</x:f>
        <x:v>2.6</x:v>
      </x:c>
      <x:c r="E12" s="42"/>
      <x:c r="F12" s="42"/>
      <x:c r="G12" s="42"/>
    </x:row>
    <x:row r="13">
      <x:c r="A13" s="34" t="str">
        <x:v>المدينة المنورة</x:v>
      </x:c>
      <x:c r="B13" s="34" t="n">
        <x:f>COUNTIF('الدليل الكامل'!B5:B71,A13)</x:f>
        <x:v>5</x:v>
      </x:c>
      <x:c r="C13" s="34" t="n">
        <x:f>AVERAGEIF('الدليل الكامل'!B5:B71,A13,'الدليل الكامل'!G5:G71)</x:f>
        <x:v>2.2</x:v>
      </x:c>
      <x:c r="D13" s="34" t="n">
        <x:f>AVERAGEIF('الدليل الكامل'!B5:B71,A13,'الدليل الكامل'!I5:I71)</x:f>
        <x:v>3.8</x:v>
      </x:c>
      <x:c r="E13" s="42"/>
      <x:c r="F13" s="42"/>
      <x:c r="G13" s="42"/>
    </x:row>
    <x:row r="14">
      <x:c r="A14" s="34" t="str">
        <x:v>القصيم</x:v>
      </x:c>
      <x:c r="B14" s="34" t="n">
        <x:f>COUNTIF('الدليل الكامل'!B5:B71,A14)</x:f>
        <x:v>5</x:v>
      </x:c>
      <x:c r="C14" s="34" t="n">
        <x:f>AVERAGEIF('الدليل الكامل'!B5:B71,A14,'الدليل الكامل'!G5:G71)</x:f>
        <x:v>2</x:v>
      </x:c>
      <x:c r="D14" s="34" t="n">
        <x:f>AVERAGEIF('الدليل الكامل'!B5:B71,A14,'الدليل الكامل'!I5:I71)</x:f>
        <x:v>2</x:v>
      </x:c>
      <x:c r="E14" s="42"/>
      <x:c r="F14" s="42"/>
      <x:c r="G14" s="42"/>
    </x:row>
    <x:row r="15">
      <x:c r="A15" s="34" t="str">
        <x:v>المنطقة الشرقية</x:v>
      </x:c>
      <x:c r="B15" s="34" t="n">
        <x:f>COUNTIF('الدليل الكامل'!B5:B71,A15)</x:f>
        <x:v>5</x:v>
      </x:c>
      <x:c r="C15" s="34" t="n">
        <x:f>AVERAGEIF('الدليل الكامل'!B5:B71,A15,'الدليل الكامل'!G5:G71)</x:f>
        <x:v>2.2</x:v>
      </x:c>
      <x:c r="D15" s="34" t="n">
        <x:f>AVERAGEIF('الدليل الكامل'!B5:B71,A15,'الدليل الكامل'!I5:I71)</x:f>
        <x:v>2.4</x:v>
      </x:c>
      <x:c r="E15" s="42"/>
      <x:c r="F15" s="42"/>
      <x:c r="G15" s="42"/>
    </x:row>
    <x:row r="16">
      <x:c r="A16" s="34" t="str">
        <x:v>عسير</x:v>
      </x:c>
      <x:c r="B16" s="34" t="n">
        <x:f>COUNTIF('الدليل الكامل'!B5:B71,A16)</x:f>
        <x:v>5</x:v>
      </x:c>
      <x:c r="C16" s="34" t="n">
        <x:f>AVERAGEIF('الدليل الكامل'!B5:B71,A16,'الدليل الكامل'!G5:G71)</x:f>
        <x:v>1.8</x:v>
      </x:c>
      <x:c r="D16" s="34" t="n">
        <x:f>AVERAGEIF('الدليل الكامل'!B5:B71,A16,'الدليل الكامل'!I5:I71)</x:f>
        <x:v>3</x:v>
      </x:c>
      <x:c r="E16" s="42"/>
      <x:c r="F16" s="42"/>
      <x:c r="G16" s="42"/>
    </x:row>
    <x:row r="17">
      <x:c r="A17" s="34" t="str">
        <x:v>الباحة</x:v>
      </x:c>
      <x:c r="B17" s="34" t="n">
        <x:f>COUNTIF('الدليل الكامل'!B5:B71,A17)</x:f>
        <x:v>5</x:v>
      </x:c>
      <x:c r="C17" s="34" t="n">
        <x:f>AVERAGEIF('الدليل الكامل'!B5:B71,A17,'الدليل الكامل'!G5:G71)</x:f>
        <x:v>1.8</x:v>
      </x:c>
      <x:c r="D17" s="34" t="n">
        <x:f>AVERAGEIF('الدليل الكامل'!B5:B71,A17,'الدليل الكامل'!I5:I71)</x:f>
        <x:v>3.2</x:v>
      </x:c>
      <x:c r="E17" s="42"/>
      <x:c r="F17" s="42"/>
      <x:c r="G17" s="42"/>
    </x:row>
    <x:row r="18">
      <x:c r="A18" s="34" t="str">
        <x:v>تبوك</x:v>
      </x:c>
      <x:c r="B18" s="34" t="n">
        <x:f>COUNTIF('الدليل الكامل'!B5:B71,A18)</x:f>
        <x:v>6</x:v>
      </x:c>
      <x:c r="C18" s="34" t="n">
        <x:f>AVERAGEIF('الدليل الكامل'!B5:B71,A18,'الدليل الكامل'!G5:G71)</x:f>
        <x:v>1.6666666666666667</x:v>
      </x:c>
      <x:c r="D18" s="34" t="n">
        <x:f>AVERAGEIF('الدليل الكامل'!B5:B71,A18,'الدليل الكامل'!I5:I71)</x:f>
        <x:v>4.166666666666667</x:v>
      </x:c>
      <x:c r="E18" s="42"/>
      <x:c r="F18" s="42"/>
      <x:c r="G18" s="42"/>
    </x:row>
    <x:row r="19">
      <x:c r="A19" s="34" t="str">
        <x:v>حائل</x:v>
      </x:c>
      <x:c r="B19" s="34" t="n">
        <x:f>COUNTIF('الدليل الكامل'!B5:B71,A19)</x:f>
        <x:v>5</x:v>
      </x:c>
      <x:c r="C19" s="34" t="n">
        <x:f>AVERAGEIF('الدليل الكامل'!B5:B71,A19,'الدليل الكامل'!G5:G71)</x:f>
        <x:v>1.2</x:v>
      </x:c>
      <x:c r="D19" s="34" t="n">
        <x:f>AVERAGEIF('الدليل الكامل'!B5:B71,A19,'الدليل الكامل'!I5:I71)</x:f>
        <x:v>3.8</x:v>
      </x:c>
      <x:c r="E19" s="42"/>
      <x:c r="F19" s="42"/>
      <x:c r="G19" s="42"/>
    </x:row>
    <x:row r="20">
      <x:c r="A20" s="34" t="str">
        <x:v>جازان</x:v>
      </x:c>
      <x:c r="B20" s="34" t="n">
        <x:f>COUNTIF('الدليل الكامل'!B5:B71,A20)</x:f>
        <x:v>5</x:v>
      </x:c>
      <x:c r="C20" s="34" t="n">
        <x:f>AVERAGEIF('الدليل الكامل'!B5:B71,A20,'الدليل الكامل'!G5:G71)</x:f>
        <x:v>1.8</x:v>
      </x:c>
      <x:c r="D20" s="34" t="n">
        <x:f>AVERAGEIF('الدليل الكامل'!B5:B71,A20,'الدليل الكامل'!I5:I71)</x:f>
        <x:v>3.8</x:v>
      </x:c>
      <x:c r="E20" s="42"/>
      <x:c r="F20" s="42"/>
      <x:c r="G20" s="42"/>
    </x:row>
    <x:row r="21">
      <x:c r="A21" s="32" t="str">
        <x:v>نجران</x:v>
      </x:c>
      <x:c r="B21" s="32" t="n">
        <x:f>COUNTIF('الدليل الكامل'!B5:B71,A21)</x:f>
        <x:v>5</x:v>
      </x:c>
      <x:c r="C21" s="32" t="n">
        <x:f>AVERAGEIF('الدليل الكامل'!B5:B71,A21,'الدليل الكامل'!G5:G71)</x:f>
        <x:v>1</x:v>
      </x:c>
      <x:c r="D21" s="32" t="n">
        <x:f>AVERAGEIF('الدليل الكامل'!B5:B71,A21,'الدليل الكامل'!I5:I71)</x:f>
        <x:v>3.8</x:v>
      </x:c>
    </x:row>
    <x:row r="22">
      <x:c r="A22" s="32" t="str">
        <x:v>الجوف</x:v>
      </x:c>
      <x:c r="B22" s="32" t="n">
        <x:f>COUNTIF('الدليل الكامل'!B5:B71,A22)</x:f>
        <x:v>5</x:v>
      </x:c>
      <x:c r="C22" s="32" t="n">
        <x:f>AVERAGEIF('الدليل الكامل'!B5:B71,A22,'الدليل الكامل'!G5:G71)</x:f>
        <x:v>1.4</x:v>
      </x:c>
      <x:c r="D22" s="32" t="n">
        <x:f>AVERAGEIF('الدليل الكامل'!B5:B71,A22,'الدليل الكامل'!I5:I71)</x:f>
        <x:v>3.4</x:v>
      </x:c>
    </x:row>
    <x:row r="23">
      <x:c r="A23" s="32" t="str">
        <x:v>الحدود الشمالية</x:v>
      </x:c>
      <x:c r="B23" s="32" t="n">
        <x:f>COUNTIF('الدليل الكامل'!B5:B71,A23)</x:f>
        <x:v>6</x:v>
      </x:c>
      <x:c r="C23" s="32" t="n">
        <x:f>AVERAGEIF('الدليل الكامل'!B5:B71,A23,'الدليل الكامل'!G5:G71)</x:f>
        <x:v>1</x:v>
      </x:c>
      <x:c r="D23" s="32" t="n">
        <x:f>AVERAGEIF('الدليل الكامل'!B5:B71,A23,'الدليل الكامل'!I5:I71)</x:f>
        <x:v>4.666666666666667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1135c3e5ccc4282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5" t="str">
        <x:v>المنهجية والمصادر</x:v>
      </x:c>
      <x:c r="B1" s="5"/>
      <x:c r="C1" s="5"/>
      <x:c r="D1" s="5"/>
      <x:c r="E1" s="5"/>
      <x:c r="F1" s="5"/>
    </x:row>
    <x:row r="3">
      <x:c r="A3" s="25" t="str">
        <x:v>بند</x:v>
      </x:c>
      <x:c r="B3" s="25" t="str">
        <x:v>شرح</x:v>
      </x:c>
    </x:row>
    <x:row r="4">
      <x:c r="A4" s="32" t="str">
        <x:v>نطاق البحث</x:v>
      </x:c>
      <x:c r="B4" s="32" t="str">
        <x:v>الأماكن الأقل تداولًا نسبيًا، لا الأماكن المجهولة بالكامل.</x:v>
      </x:c>
    </x:row>
    <x:row r="5">
      <x:c r="A5" s="32" t="str">
        <x:v>Google Maps</x:v>
      </x:c>
      <x:c r="B5" s="32" t="str">
        <x:v>استخدمت إدراجات الخرائط وراجعت عدد التقييمات عندما ظهر في نتائج الخرائط؛ الأعداد لقطة بتاريخ 19-09-2026 وقد تتغير.</x:v>
      </x:c>
    </x:row>
    <x:row r="6">
      <x:c r="A6" s="32" t="str">
        <x:v>Google Search</x:v>
      </x:c>
      <x:c r="B6" s="32" t="str">
        <x:v>استخدمت البحث العام لتحديد الوجود الرقمي والمراجع المفتوحة وإيجاد صفحات رسمية/إعلامية.</x:v>
      </x:c>
    </x:row>
    <x:row r="7">
      <x:c r="A7" s="32" t="str">
        <x:v>السوشال/الفيديو</x:v>
      </x:c>
      <x:c r="B7" s="32" t="str">
        <x:v>استُخدم المحتوى الاجتماعي أو الفيديو المفهرس كإشارة على أن الموقع يُزار ويُصوَّر، وليس كإثبات رسمي لحجم السياحة.</x:v>
      </x:c>
    </x:row>
    <x:row r="8">
      <x:c r="A8" s="32" t="str">
        <x:v>مؤشر الشهرة الرقمية</x:v>
      </x:c>
      <x:c r="B8" s="32" t="str">
        <x:v>1–5: تقدير تحليلي مبني على الحضور في الخرائط والويب والمحتوى، وليس ترتيبًا رسميًا.</x:v>
      </x:c>
    </x:row>
    <x:row r="9">
      <x:c r="A9" s="32" t="str">
        <x:v>مؤشر العزلة</x:v>
      </x:c>
      <x:c r="B9" s="32" t="str">
        <x:v>1–5: تقدير تقريبي لصعوبة الوصول وبعد الموقع عن الطرق/العمران وفق طبيعة الموقع ووصف المصادر.</x:v>
      </x:c>
    </x:row>
    <x:row r="10">
      <x:c r="A10" s="32" t="str">
        <x:v>4x4</x:v>
      </x:c>
      <x:c r="B10" s="32" t="str">
        <x:v>التوصية تقريبية؛ الطرق الرملية/الجبلية قد تتغير مع الطقس.</x:v>
      </x:c>
    </x:row>
    <x:row r="11">
      <x:c r="A11" s="32" t="str">
        <x:v>أفضل موسم</x:v>
      </x:c>
      <x:c r="B11" s="32" t="str">
        <x:v>نطاقات موسمية عامة؛ الأمطار والسيول والضباب قد تغير القرار في نفس اليوم.</x:v>
      </x:c>
    </x:row>
    <x:row r="12">
      <x:c r="A12" s="32" t="str">
        <x:v>السلامة</x:v>
      </x:c>
      <x:c r="B12" s="32" t="str">
        <x:v>الكهوف ومجاري السيول والمواقع الأثرية تتطلب حذرًا؛ لا دخول للكهوف أو مجاري الأودية دون تجهيز مناسب.</x:v>
      </x:c>
    </x:row>
    <x:row r="15">
      <x:c r="A15" s="25" t="str">
        <x:v>مصدر رئيسي</x:v>
      </x:c>
      <x:c r="B15" s="25" t="str">
        <x:v>الرابط</x:v>
      </x:c>
    </x:row>
    <x:row r="16">
      <x:c r="A16" s="32" t="str">
        <x:v>روح السعودية – كهف عين هيت</x:v>
      </x:c>
      <x:c r="B16" s="32" t="str">
        <x:v>https://www.visitsaudi.com/ar/riyadh/attractions/heet-cave</x:v>
      </x:c>
    </x:row>
    <x:row r="17">
      <x:c r="A17" s="32" t="str">
        <x:v>سعوديبيديا – وادي فاطمة</x:v>
      </x:c>
      <x:c r="B17" s="32" t="str">
        <x:v>https://saudipedia.com/%D9%88%D8%A7%D8%AF%D9%8A-%D9%81%D8%A7%D8%B7%D9%85%D8%A9</x:v>
      </x:c>
    </x:row>
    <x:row r="18">
      <x:c r="A18" s="32" t="str">
        <x:v>واس – محافظة الجموم</x:v>
      </x:c>
      <x:c r="B18" s="32" t="str">
        <x:v>https://www.spa.gov.sa/N1981164</x:v>
      </x:c>
    </x:row>
    <x:row r="19">
      <x:c r="A19" s="32" t="str">
        <x:v>الرياض – وادي قنونا (2024)</x:v>
      </x:c>
      <x:c r="B19" s="32" t="str">
        <x:v>https://www.alriyadh.com/2099175</x:v>
      </x:c>
    </x:row>
    <x:row r="20">
      <x:c r="A20" s="32" t="str">
        <x:v>واس – تصريف سد وادي قنونا (2026)</x:v>
      </x:c>
      <x:c r="B20" s="32" t="str">
        <x:v>https://www.spa.gov.sa/N2640844</x:v>
      </x:c>
    </x:row>
    <x:row r="21">
      <x:c r="A21" s="32" t="str">
        <x:v>سعوديبيديا – حرة خيبر</x:v>
      </x:c>
      <x:c r="B21" s="32" t="str">
        <x:v>https://saudipedia.com/%D8%AD%D8%B1%D8%A9-%D8%AE%D9%8A%D8%A8%D8%B1</x:v>
      </x:c>
    </x:row>
    <x:row r="22">
      <x:c r="A22" s="32" t="str">
        <x:v>روح السعودية – Hiking in Saudi Arabia</x:v>
      </x:c>
      <x:c r="B22" s="32" t="str">
        <x:v>https://www.visitsaudi.com/en/stories/hiking-in-saudi-arabia</x:v>
      </x:c>
    </x:row>
    <x:row r="23">
      <x:c r="A23" s="32" t="str">
        <x:v>سعوديبيديا – قائمة قرى تراثية في عسير</x:v>
      </x:c>
      <x:c r="B23" s="32" t="str">
        <x:v>https://saudipedia.com/%D9%82%D8%A7%D8%A6%D9%85%D8%A9-%D8%AE%D9%85%D8%B3-%D9%82%D8%B1%D9%89-%D9%88%D8%A8%D9%84%D8%AF%D8%A7%D8%AA-%D8%AA%D8%B1%D8%A7%D8%AB%D9%8A%D8%A9-%D9%81%D9%8A-%D9%85%D9%86%D8%B7%D9%82%D8%A9-%D8%B9%D8%B3%D9%8A%D8%B1</x:v>
      </x:c>
    </x:row>
    <x:row r="24">
      <x:c r="A24" s="32" t="str">
        <x:v>سعوديبيديا – قائمة قرى تراثية في حائل</x:v>
      </x:c>
      <x:c r="B24" s="32" t="str">
        <x:v>https://saudipedia.com/%D9%82%D8%A7%D8%A6%D9%85%D8%A9-%D8%A7%D9%84%D9%82%D8%B1%D9%89-%D9%88%D8%A7%D9%84%D8%A8%D9%84%D8%AF%D8%A7%D8%AA-%D8%A7%D9%84%D8%AA%D8%B1%D8%A7%D8%AB%D9%8A%D8%A9-%D8%A7%D9%84%D8%A8%D8%A7%D8%B1%D8%B2%D8%A9-%D9%81%D9%8A-%D9%85%D9%86%D8%B7%D9%82%D8%A9-%D8%AD%D8%A7%D8%A6%D9%84</x:v>
      </x:c>
    </x:row>
    <x:row r="25">
      <x:c r="A25" s="32" t="str">
        <x:v>سعوديبيديا – آثار الحدود الشمالية</x:v>
      </x:c>
      <x:c r="B25" s="32" t="str">
        <x:v>https://saudipedia.com/%D8%A7%D9%84%D8%A2%D8%AB%D8%A7%D8%B1-%D9%81%D9%8A-%D9%85%D9%86%D8%B7%D9%82%D8%A9-%D8%A7%D9%84%D8%AD%D8%AF%D9%88%D8%AF-%D8%A7%D9%84%D8%B4%D9%85%D8%A7%D9%84%D9%8A%D8%A9</x:v>
      </x:c>
    </x:row>
    <x:row r="26">
      <x:c r="A26" s="32" t="str">
        <x:v>سعوديبيديا – آثار الجوف</x:v>
      </x:c>
      <x:c r="B26" s="32" t="str">
        <x:v>https://saudipedia.com/%D8%A7%D9%84%D8%A2%D8%AB%D8%A7%D8%B1-%D9%81%D9%8A-%D9%85%D9%86%D8%B7%D9%82%D8%A9-%D8%A7%D9%84%D8%AC%D9%88%D9%81</x:v>
      </x:c>
    </x:row>
    <x:row r="27">
      <x:c r="A27" s="32" t="str">
        <x:v>سعوديبيديا – آثار السعودية</x:v>
      </x:c>
      <x:c r="B27" s="32" t="str">
        <x:v>https://saudipedia.com/%D8%A7%D9%84%D8%A2%D8%AB%D8%A7%D8%B1-%D9%81%D9%8A-%D8%A7%D9%84%D8%B3%D8%B9%D9%88%D8%AF%D9%8A%D8%A9</x:v>
      </x:c>
    </x:row>
    <x:row r="28">
      <x:c r="A28" s="32" t="str">
        <x:v>سعوديبيديا – السياحة في جازان</x:v>
      </x:c>
      <x:c r="B28" s="32" t="str">
        <x:v>https://saudipedia.com/%D8%A7%D9%84%D8%B3%D9%8A%D8%A7%D8%AD%D8%A9-%D9%81%D9%8A-%D9%85%D9%86%D8%B7%D9%82%D8%A9-%D8%AC%D8%A7%D8%B2%D8%A7%D9%86</x:v>
      </x:c>
    </x:row>
    <x:row r="29">
      <x:c r="A29" s="32" t="str">
        <x:v>سعوديبيديا – محافظة الأحساء</x:v>
      </x:c>
      <x:c r="B29" s="32" t="str">
        <x:v>https://saudipedia.com/%D9%85%D8%AD%D8%A7%D9%81%D8%B8%D8%A9-%D8%A7%D9%84%D8%A3%D8%AD%D8%B3%D8%A7%D8%A1</x:v>
      </x:c>
    </x:row>
  </x:sheetData>
  <x:mergeCells>
    <x:mergeCell ref="A1:F1"/>
  </x:mergeCells>
  <x:pageMargins left="0.7" right="0.7" top="0.75" bottom="0.75" header="0.3" footer="0.3"/>
</x:worksheet>
</file>